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3"/>
    <sheet state="visible" name="2026_income" sheetId="2" r:id="rId4"/>
    <sheet state="visible" name="2025" sheetId="3" r:id="rId5"/>
    <sheet state="visible" name="2025_income" sheetId="4" r:id="rId6"/>
    <sheet state="visible" name="2024" sheetId="5" r:id="rId7"/>
    <sheet state="visible" name="2024_income" sheetId="6" r:id="rId8"/>
    <sheet state="visible" name="2023" sheetId="7" r:id="rId9"/>
    <sheet state="visible" name="2023_income" sheetId="8" r:id="rId10"/>
    <sheet state="visible" name="2022" sheetId="9" r:id="rId11"/>
    <sheet state="visible" name="2022_income" sheetId="10" r:id="rId12"/>
    <sheet state="visible" name="2021" sheetId="11" r:id="rId13"/>
    <sheet state="visible" name="2021_income" sheetId="12" r:id="rId14"/>
    <sheet state="visible" name="2020" sheetId="13" r:id="rId15"/>
    <sheet state="visible" name="2020_income" sheetId="14" r:id="rId16"/>
    <sheet state="visible" name="2019_1" sheetId="15" r:id="rId17"/>
    <sheet state="visible" name="2019_2" sheetId="16" r:id="rId18"/>
    <sheet state="visible" name="Total_earning" sheetId="17" r:id="rId19"/>
    <sheet state="visible" name="Pivot" sheetId="18" r:id="rId20"/>
    <sheet state="visible" name="324" sheetId="19" r:id="rId21"/>
  </sheets>
  <definedNames/>
  <calcPr/>
  <pivotCaches>
    <pivotCache cacheId="0" r:id="rId2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refund from panasonic</t>
      </text>
    </comment>
    <comment authorId="0" ref="J52">
      <text>
        <t xml:space="preserve">mum</t>
      </text>
    </comment>
    <comment authorId="0" ref="J57">
      <text>
        <t xml:space="preserve">Red pocket</t>
      </text>
    </comment>
    <comment authorId="0" ref="G73">
      <text>
        <t xml:space="preserve">council fee</t>
      </text>
    </comment>
    <comment authorId="0" ref="F100">
      <text>
        <t xml:space="preserve">cashback</t>
      </text>
    </comment>
    <comment authorId="0" ref="F108">
      <text>
        <t xml:space="preserve">refund kinder deposit</t>
      </text>
    </comment>
    <comment authorId="0" ref="G150">
      <text>
        <t xml:space="preserve">ahpra</t>
      </text>
    </comment>
    <comment authorId="0" ref="G157">
      <text>
        <t xml:space="preserve">water</t>
      </text>
    </comment>
    <comment authorId="0" ref="G163">
      <text>
        <t xml:space="preserve">Gardening (strata)</t>
      </text>
    </comment>
    <comment authorId="0" ref="G167">
      <text>
        <t xml:space="preserve">council</t>
      </text>
    </comment>
    <comment authorId="0" ref="G190">
      <text>
        <t xml:space="preserve">chinese school</t>
      </text>
    </comment>
    <comment authorId="0" ref="F192">
      <text>
        <t xml:space="preserve">floristry</t>
      </text>
    </comment>
    <comment authorId="0" ref="G195">
      <text>
        <t xml:space="preserve">costco</t>
      </text>
    </comment>
    <comment authorId="0" ref="F216">
      <text>
        <t xml:space="preserve">avery bd- location fee
kinder photo</t>
      </text>
    </comment>
    <comment authorId="0" ref="F227">
      <text>
        <t xml:space="preserve">ato</t>
      </text>
    </comment>
    <comment authorId="0" ref="F237">
      <text>
        <t xml:space="preserve">cashback</t>
      </text>
    </comment>
    <comment authorId="0" ref="G241">
      <text>
        <t xml:space="preserve">strata ins</t>
      </text>
    </comment>
    <comment authorId="0" ref="G244">
      <text>
        <t xml:space="preserve">centerlink</t>
      </text>
    </comment>
    <comment authorId="0" ref="F273">
      <text>
        <t xml:space="preserve">return bond from playhouse</t>
      </text>
    </comment>
    <comment authorId="0" ref="F275">
      <text>
        <t xml:space="preserve">flight</t>
      </text>
    </comment>
    <comment authorId="0" ref="G280">
      <text>
        <t xml:space="preserve">refund medibank</t>
      </text>
    </comment>
    <comment authorId="0" ref="F282">
      <text>
        <t xml:space="preserve">refund from playhouse</t>
      </text>
    </comment>
    <comment authorId="0" ref="F287">
      <text>
        <t xml:space="preserve">passport</t>
      </text>
    </comment>
    <comment authorId="0" ref="G287">
      <text>
        <t xml:space="preserve">council</t>
      </text>
    </comment>
    <comment authorId="0" ref="G349">
      <text>
        <t xml:space="preserve">council fee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refund from panasonic</t>
      </text>
    </comment>
    <comment authorId="0" ref="J52">
      <text>
        <t xml:space="preserve">mum</t>
      </text>
    </comment>
    <comment authorId="0" ref="J57">
      <text>
        <t xml:space="preserve">Red pocket</t>
      </text>
    </comment>
    <comment authorId="0" ref="G73">
      <text>
        <t xml:space="preserve">council fee</t>
      </text>
    </comment>
    <comment authorId="0" ref="F100">
      <text>
        <t xml:space="preserve">cashback</t>
      </text>
    </comment>
    <comment authorId="0" ref="F108">
      <text>
        <t xml:space="preserve">refund kinder deposit</t>
      </text>
    </comment>
    <comment authorId="0" ref="G150">
      <text>
        <t xml:space="preserve">ahpra</t>
      </text>
    </comment>
    <comment authorId="0" ref="G157">
      <text>
        <t xml:space="preserve">water</t>
      </text>
    </comment>
    <comment authorId="0" ref="G163">
      <text>
        <t xml:space="preserve">Gardening (strata)</t>
      </text>
    </comment>
    <comment authorId="0" ref="G167">
      <text>
        <t xml:space="preserve">council</t>
      </text>
    </comment>
    <comment authorId="0" ref="G190">
      <text>
        <t xml:space="preserve">chinese school</t>
      </text>
    </comment>
    <comment authorId="0" ref="F192">
      <text>
        <t xml:space="preserve">floristry</t>
      </text>
    </comment>
    <comment authorId="0" ref="G195">
      <text>
        <t xml:space="preserve">costco</t>
      </text>
    </comment>
    <comment authorId="0" ref="F216">
      <text>
        <t xml:space="preserve">avery bd- location fee
kinder photo</t>
      </text>
    </comment>
    <comment authorId="0" ref="F227">
      <text>
        <t xml:space="preserve">ato</t>
      </text>
    </comment>
    <comment authorId="0" ref="F237">
      <text>
        <t xml:space="preserve">cashback</t>
      </text>
    </comment>
    <comment authorId="0" ref="G241">
      <text>
        <t xml:space="preserve">strata ins</t>
      </text>
    </comment>
    <comment authorId="0" ref="G244">
      <text>
        <t xml:space="preserve">centerlink</t>
      </text>
    </comment>
    <comment authorId="0" ref="F273">
      <text>
        <t xml:space="preserve">return bond from playhouse</t>
      </text>
    </comment>
    <comment authorId="0" ref="F275">
      <text>
        <t xml:space="preserve">flight</t>
      </text>
    </comment>
    <comment authorId="0" ref="G280">
      <text>
        <t xml:space="preserve">refund medibank</t>
      </text>
    </comment>
    <comment authorId="0" ref="F282">
      <text>
        <t xml:space="preserve">refund from playhouse</t>
      </text>
    </comment>
    <comment authorId="0" ref="F287">
      <text>
        <t xml:space="preserve">passport</t>
      </text>
    </comment>
    <comment authorId="0" ref="G287">
      <text>
        <t xml:space="preserve">council</t>
      </text>
    </comment>
    <comment authorId="0" ref="G344">
      <text>
        <t xml:space="preserve">chinese school fee</t>
      </text>
    </comment>
    <comment authorId="0" ref="G349">
      <text>
        <t xml:space="preserve">council fee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7">
      <text>
        <t xml:space="preserve">Mum n Dad</t>
      </text>
    </comment>
    <comment authorId="0" ref="G37">
      <text>
        <t xml:space="preserve">birth cert</t>
      </text>
    </comment>
    <comment authorId="0" ref="F42">
      <text>
        <t xml:space="preserve">NB photo deposit</t>
      </text>
    </comment>
    <comment authorId="0" ref="G73">
      <text>
        <t xml:space="preserve">council</t>
      </text>
    </comment>
    <comment authorId="0" ref="J73">
      <text>
        <t xml:space="preserve">tongue tie</t>
      </text>
    </comment>
    <comment authorId="0" ref="F78">
      <text>
        <t xml:space="preserve">NB photo, kinder deposit refund</t>
      </text>
    </comment>
    <comment authorId="0" ref="G91">
      <text>
        <t xml:space="preserve">speeding fine</t>
      </text>
    </comment>
    <comment authorId="0" ref="G93">
      <text>
        <t xml:space="preserve">parking fine</t>
      </text>
    </comment>
    <comment authorId="0" ref="F140">
      <text>
        <t xml:space="preserve">belly binding</t>
      </text>
    </comment>
    <comment authorId="0" ref="F146">
      <text>
        <t xml:space="preserve">belly binding</t>
      </text>
    </comment>
    <comment authorId="0" ref="G165">
      <text>
        <t xml:space="preserve">council</t>
      </text>
    </comment>
    <comment authorId="0" ref="F208">
      <text>
        <t xml:space="preserve">flight tickets</t>
      </text>
    </comment>
    <comment authorId="0" ref="F210">
      <text>
        <t xml:space="preserve">medibank physio rebate</t>
      </text>
    </comment>
    <comment authorId="0" ref="F211">
      <text>
        <t xml:space="preserve">dad’s ticket</t>
      </text>
    </comment>
    <comment authorId="0" ref="F220">
      <text>
        <t xml:space="preserve">tax return</t>
      </text>
    </comment>
    <comment authorId="0" ref="F221">
      <text>
        <t xml:space="preserve">tax return</t>
      </text>
    </comment>
    <comment authorId="0" ref="G226">
      <text>
        <t xml:space="preserve">body corp insurance</t>
      </text>
    </comment>
    <comment authorId="0" ref="F246">
      <text>
        <t xml:space="preserve">return ccs</t>
      </text>
    </comment>
    <comment authorId="0" ref="F255">
      <text>
        <t xml:space="preserve">cashback</t>
      </text>
    </comment>
    <comment authorId="0" ref="G280">
      <text>
        <t xml:space="preserve">medibank return 44.4</t>
      </text>
    </comment>
    <comment authorId="0" ref="G283">
      <text>
        <t xml:space="preserve">medibank return</t>
      </text>
    </comment>
    <comment authorId="0" ref="G296">
      <text>
        <t xml:space="preserve">travel insurance</t>
      </text>
    </comment>
    <comment authorId="0" ref="F297">
      <text>
        <t xml:space="preserve">dad$800, HK use$300</t>
      </text>
    </comment>
    <comment authorId="0" ref="G311">
      <text>
        <t xml:space="preserve">water</t>
      </text>
    </comment>
    <comment authorId="0" ref="F319">
      <text>
        <t xml:space="preserve">dad</t>
      </text>
    </comment>
    <comment authorId="0" ref="G342">
      <text>
        <t xml:space="preserve">strata</t>
      </text>
    </comment>
    <comment authorId="0" ref="G350">
      <text>
        <t xml:space="preserve">council fee</t>
      </text>
    </comment>
    <comment authorId="0" ref="F351">
      <text>
        <t xml:space="preserve">dad</t>
      </text>
    </comment>
    <comment authorId="0" ref="K351">
      <text>
        <t xml:space="preserve">for mum (nov, dec, annual)</t>
      </text>
    </comment>
    <comment authorId="0" ref="F366">
      <text>
        <t xml:space="preserve">medibank backpay</t>
      </text>
    </comment>
    <comment authorId="0" ref="F371">
      <text>
        <t xml:space="preserve">cashback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0">
      <text>
        <t xml:space="preserve">water</t>
      </text>
    </comment>
    <comment authorId="0" ref="G73">
      <text>
        <t xml:space="preserve">council fee</t>
      </text>
    </comment>
    <comment authorId="0" ref="G90">
      <text>
        <t xml:space="preserve">Rego , insurance for model 3</t>
      </text>
    </comment>
    <comment authorId="0" ref="G136">
      <text>
        <t xml:space="preserve">water</t>
      </text>
    </comment>
    <comment authorId="0" ref="G144">
      <text>
        <t xml:space="preserve">Ahpra</t>
      </text>
    </comment>
    <comment authorId="0" ref="G163">
      <text>
        <t xml:space="preserve">medibank rebate</t>
      </text>
    </comment>
    <comment authorId="0" ref="G165">
      <text>
        <t xml:space="preserve">council fee</t>
      </text>
    </comment>
    <comment authorId="0" ref="L171">
      <text>
        <t xml:space="preserve">kindi deposit</t>
      </text>
    </comment>
    <comment authorId="0" ref="G194">
      <text>
        <t xml:space="preserve">citizenship</t>
      </text>
    </comment>
    <comment authorId="0" ref="G201">
      <text>
        <t xml:space="preserve">Car Insurance $641
home insurance</t>
      </text>
    </comment>
    <comment authorId="0" ref="F204">
      <text>
        <t xml:space="preserve">flight tickets</t>
      </text>
    </comment>
    <comment authorId="0" ref="F211">
      <text>
        <t xml:space="preserve">travel insurance</t>
      </text>
    </comment>
    <comment authorId="0" ref="F213">
      <text>
        <t xml:space="preserve">travel expense</t>
      </text>
    </comment>
    <comment authorId="0" ref="K219">
      <text>
        <t xml:space="preserve">package fee</t>
      </text>
    </comment>
    <comment authorId="0" ref="G224">
      <text>
        <t xml:space="preserve">water</t>
      </text>
    </comment>
    <comment authorId="0" ref="G229">
      <text>
        <t xml:space="preserve">body crop</t>
      </text>
    </comment>
    <comment authorId="0" ref="F237">
      <text>
        <t xml:space="preserve">tax return</t>
      </text>
    </comment>
    <comment authorId="0" ref="G240">
      <text>
        <t xml:space="preserve">AWS cert</t>
      </text>
    </comment>
    <comment authorId="0" ref="E246">
      <text>
        <t xml:space="preserve">air tickets</t>
      </text>
    </comment>
    <comment authorId="0" ref="L251">
      <text>
        <t xml:space="preserve">centrelink</t>
      </text>
    </comment>
    <comment authorId="0" ref="F288">
      <text>
        <t xml:space="preserve">dad’s flight$</t>
      </text>
    </comment>
    <comment authorId="0" ref="G315">
      <text>
        <t xml:space="preserve">water</t>
      </text>
    </comment>
    <comment authorId="0" ref="G331">
      <text>
        <t xml:space="preserve">Tax</t>
      </text>
    </comment>
    <comment authorId="0" ref="F332">
      <text>
        <t xml:space="preserve">lens</t>
      </text>
    </comment>
    <comment authorId="0" ref="F337">
      <text>
        <t xml:space="preserve">eric</t>
      </text>
    </comment>
    <comment authorId="0" ref="F338">
      <text>
        <t xml:space="preserve">medibank lens</t>
      </text>
    </comment>
    <comment authorId="0" ref="E345">
      <text>
        <t xml:space="preserve">TGJ180</t>
      </text>
    </comment>
    <comment authorId="0" ref="G348">
      <text>
        <t xml:space="preserve">council</t>
      </text>
    </comment>
    <comment authorId="0" ref="E351">
      <text>
        <t xml:space="preserve">myki</t>
      </text>
    </comment>
    <comment authorId="0" ref="F351">
      <text>
        <t xml:space="preserve">insurance for HK</t>
      </text>
    </comment>
    <comment authorId="0" ref="F352">
      <text>
        <t xml:space="preserve">passport</t>
      </text>
    </comment>
    <comment authorId="0" ref="F353">
      <text>
        <t xml:space="preserve">massage</t>
      </text>
    </comment>
    <comment authorId="0" ref="K353">
      <text>
        <t xml:space="preserve">$500 monthly+ $500 annual for mum</t>
      </text>
    </comment>
    <comment authorId="0" ref="F354">
      <text>
        <t xml:space="preserve">$1000 to dad</t>
      </text>
    </comment>
    <comment authorId="0" ref="F377">
      <text>
        <t xml:space="preserve">Carmen’s wedding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2">
      <text>
        <t xml:space="preserve">Model 3 insurance</t>
      </text>
    </comment>
    <comment authorId="0" ref="G97">
      <text>
        <t xml:space="preserve">gas</t>
      </text>
    </comment>
    <comment authorId="0" ref="G117">
      <text>
        <t xml:space="preserve">Electricity</t>
      </text>
    </comment>
    <comment authorId="0" ref="G147">
      <text>
        <t xml:space="preserve">Electricity</t>
      </text>
    </comment>
    <comment authorId="0" ref="G150">
      <text>
        <t xml:space="preserve">Gas</t>
      </text>
    </comment>
    <comment authorId="0" ref="G157">
      <text>
        <t xml:space="preserve">Electricity</t>
      </text>
    </comment>
    <comment authorId="0" ref="G204">
      <text>
        <t xml:space="preserve">family tax benefit owe</t>
      </text>
    </comment>
    <comment authorId="0" ref="G210">
      <text>
        <t xml:space="preserve">Home Insurance</t>
      </text>
    </comment>
    <comment authorId="0" ref="G211">
      <text>
        <t xml:space="preserve">Gas</t>
      </text>
    </comment>
    <comment authorId="0" ref="G216">
      <text>
        <t xml:space="preserve">energy</t>
      </text>
    </comment>
    <comment authorId="0" ref="K220">
      <text>
        <t xml:space="preserve">package fee</t>
      </text>
    </comment>
    <comment authorId="0" ref="G223">
      <text>
        <t xml:space="preserve">water</t>
      </text>
    </comment>
    <comment authorId="0" ref="F227">
      <text>
        <t xml:space="preserve">Bonds refund</t>
      </text>
    </comment>
    <comment authorId="0" ref="G227">
      <text>
        <t xml:space="preserve">Centrelink</t>
      </text>
    </comment>
    <comment authorId="0" ref="G229">
      <text>
        <t xml:space="preserve">strata insurance</t>
      </text>
    </comment>
    <comment authorId="0" ref="G244">
      <text>
        <t xml:space="preserve">centrelink ccs</t>
      </text>
    </comment>
    <comment authorId="0" ref="F256">
      <text>
        <t xml:space="preserve">air tickets and transit hotel</t>
      </text>
    </comment>
    <comment authorId="0" ref="G293">
      <text>
        <t xml:space="preserve">Gas</t>
      </text>
    </comment>
    <comment authorId="0" ref="G301">
      <text>
        <t xml:space="preserve">rego TGJ180</t>
      </text>
    </comment>
    <comment authorId="0" ref="G308">
      <text>
        <t xml:space="preserve">Electricity</t>
      </text>
    </comment>
    <comment authorId="0" ref="G348">
      <text>
        <t xml:space="preserve">council fee</t>
      </text>
    </comment>
    <comment authorId="0" ref="F352">
      <text>
        <t xml:space="preserve">Japan skyliner</t>
      </text>
    </comment>
    <comment authorId="0" ref="G355">
      <text>
        <t xml:space="preserve">Gas</t>
      </text>
    </comment>
    <comment authorId="0" ref="K357">
      <text>
        <t xml:space="preserve">mum nov dec</t>
      </text>
    </comment>
    <comment authorId="0" ref="F366">
      <text>
        <t xml:space="preserve">Disney</t>
      </text>
    </comment>
    <comment authorId="0" ref="F370">
      <text>
        <t xml:space="preserve">Ocean Park</t>
      </text>
    </comment>
    <comment authorId="0" ref="G375">
      <text>
        <t xml:space="preserve">Gardening</t>
      </text>
    </comment>
    <comment authorId="0" ref="F378">
      <text>
        <t xml:space="preserve">pocket money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9">
      <text>
        <t xml:space="preserve">Car service</t>
      </text>
    </comment>
    <comment authorId="0" ref="F314">
      <text>
        <t xml:space="preserve">Ultrasound rebate
	-On Tik Chan</t>
      </text>
    </comment>
    <comment authorId="0" ref="H158">
      <text>
        <t xml:space="preserve">nurse license
	-On Tik Chan</t>
      </text>
    </comment>
    <comment authorId="0" ref="K139">
      <text>
        <t xml:space="preserve">SE
	-On Tik Chan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07">
      <text>
        <t xml:space="preserve">Rego 2020
	-On Tik Chan</t>
      </text>
    </comment>
    <comment authorId="0" ref="G203">
      <text>
        <t xml:space="preserve">water bill Apr to Jul
	-On Tik Chan</t>
      </text>
    </comment>
    <comment authorId="0" ref="F179">
      <text>
        <t xml:space="preserve">Flight
	-On Tik Chan</t>
      </text>
    </comment>
    <comment authorId="0" ref="G176">
      <text>
        <t xml:space="preserve">Electricity April to July
	-On Tik Chan</t>
      </text>
    </comment>
    <comment authorId="0" ref="G163">
      <text>
        <t xml:space="preserve">Gas bill 9 Apr -11 Jun
	-On Tik Chan</t>
      </text>
    </comment>
    <comment authorId="0" ref="F149">
      <text>
        <t xml:space="preserve">meal
	-On Tik Chan</t>
      </text>
    </comment>
    <comment authorId="0" ref="F87">
      <text>
        <t xml:space="preserve">water bill
	-On Tik Chan</t>
      </text>
    </comment>
    <comment authorId="0" ref="K144">
      <text>
        <t xml:space="preserve">chair
	-On Tik Chan</t>
      </text>
    </comment>
    <comment authorId="0" ref="G144">
      <text>
        <t xml:space="preserve">phone bill
	-On Tik Chan</t>
      </text>
    </comment>
  </commentList>
</comments>
</file>

<file path=xl/sharedStrings.xml><?xml version="1.0" encoding="utf-8"?>
<sst xmlns="http://schemas.openxmlformats.org/spreadsheetml/2006/main" count="394" uniqueCount="141">
  <si>
    <t>Expense</t>
  </si>
  <si>
    <t>Income</t>
  </si>
  <si>
    <t>Net Profit</t>
  </si>
  <si>
    <t>Transport</t>
  </si>
  <si>
    <t>Living</t>
  </si>
  <si>
    <t>Bill</t>
  </si>
  <si>
    <t>Groceries</t>
  </si>
  <si>
    <t>Dine</t>
  </si>
  <si>
    <t>RMIT</t>
  </si>
  <si>
    <t>Mortgage</t>
  </si>
  <si>
    <t>Childcare</t>
  </si>
  <si>
    <t>One off item</t>
  </si>
  <si>
    <t>`1!!@              Ｚ～````重	１１`２重：Ｌ；Ｌ／Ｌ；｝</t>
  </si>
  <si>
    <t>interest</t>
  </si>
  <si>
    <t>Will</t>
  </si>
  <si>
    <t>Yan</t>
  </si>
  <si>
    <t>Salary Package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</si>
  <si>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</si>
  <si>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</si>
  <si>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</si>
  <si>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</si>
  <si>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</si>
  <si>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</si>
  <si>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</si>
  <si>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</si>
  <si>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</si>
  <si>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</si>
  <si>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</si>
  <si>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</si>
  <si>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</t>
  </si>
  <si>
    <t>License</t>
  </si>
  <si>
    <t>Autumn</t>
  </si>
  <si>
    <t>Baby</t>
  </si>
  <si>
    <t>INCOME</t>
  </si>
  <si>
    <t>Monthly balance</t>
  </si>
  <si>
    <t>income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</si>
  <si>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</si>
  <si>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</si>
  <si>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</si>
  <si>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</si>
  <si>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</si>
  <si>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</si>
  <si>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</si>
  <si>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</si>
  <si>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</si>
  <si>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</si>
  <si>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</si>
  <si>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Others</t>
  </si>
  <si>
    <t>Monthly expected</t>
  </si>
  <si>
    <t>HKD</t>
  </si>
  <si>
    <t>convert license</t>
  </si>
  <si>
    <t>myki</t>
  </si>
  <si>
    <t>cooking stuff</t>
  </si>
  <si>
    <t>dinner</t>
  </si>
  <si>
    <t xml:space="preserve">lunch </t>
  </si>
  <si>
    <t>parking</t>
  </si>
  <si>
    <t xml:space="preserve">rice </t>
  </si>
  <si>
    <t>veggieball</t>
  </si>
  <si>
    <t>CAR</t>
  </si>
  <si>
    <t>saving</t>
  </si>
  <si>
    <t>lunch</t>
  </si>
  <si>
    <t>fuel</t>
  </si>
  <si>
    <t>sem 1  fee</t>
  </si>
  <si>
    <t>lab coat skin pencil</t>
  </si>
  <si>
    <t>license</t>
  </si>
  <si>
    <t>food</t>
  </si>
  <si>
    <t>school parking</t>
  </si>
  <si>
    <t>WCCC</t>
  </si>
  <si>
    <t>煉奶</t>
  </si>
  <si>
    <t>prepaid</t>
  </si>
  <si>
    <t>ear wash</t>
  </si>
  <si>
    <t>-$5</t>
  </si>
  <si>
    <t>school park</t>
  </si>
  <si>
    <t>-$58</t>
  </si>
  <si>
    <t>-$95</t>
  </si>
  <si>
    <t>-$82</t>
  </si>
  <si>
    <t>Saving</t>
  </si>
  <si>
    <t>April interest</t>
  </si>
  <si>
    <t>May interest</t>
  </si>
  <si>
    <t xml:space="preserve">          </t>
  </si>
  <si>
    <t>June interest</t>
  </si>
  <si>
    <t>JUNE</t>
  </si>
  <si>
    <t>1st week of June</t>
  </si>
  <si>
    <t>糖樓</t>
  </si>
  <si>
    <t>2nd week of June</t>
  </si>
  <si>
    <t>3rd June</t>
  </si>
  <si>
    <t>4th June</t>
  </si>
  <si>
    <t>July interest</t>
  </si>
  <si>
    <t>JULY</t>
  </si>
  <si>
    <t>1st week of July</t>
  </si>
  <si>
    <t>2nd July</t>
  </si>
  <si>
    <t>3rd July</t>
  </si>
  <si>
    <t>RCH</t>
  </si>
  <si>
    <t>4th July</t>
  </si>
  <si>
    <t>August Interest</t>
  </si>
  <si>
    <t>AUGUST</t>
  </si>
  <si>
    <t>1 st week of Aug</t>
  </si>
  <si>
    <t>2nd week of Aug</t>
  </si>
  <si>
    <t>Sept</t>
  </si>
  <si>
    <t>salary package</t>
  </si>
  <si>
    <t>ATO</t>
  </si>
  <si>
    <t>Daiso</t>
  </si>
  <si>
    <t>SalaryPackage</t>
  </si>
  <si>
    <t>Salary Pack</t>
  </si>
  <si>
    <t>SS</t>
  </si>
  <si>
    <t>YEAR</t>
  </si>
  <si>
    <t>MONTH</t>
  </si>
  <si>
    <t>Interest</t>
  </si>
  <si>
    <t>Net Profit的SUM</t>
  </si>
  <si>
    <t>Expense的SUM</t>
  </si>
  <si>
    <t>income的SUM</t>
  </si>
  <si>
    <t>Transport的SUM</t>
  </si>
  <si>
    <t>Living的SUM</t>
  </si>
  <si>
    <t>Bill的SUM</t>
  </si>
  <si>
    <t>Groceries的SUM</t>
  </si>
  <si>
    <t>Dine的SUM</t>
  </si>
  <si>
    <t>RMIT的SUM</t>
  </si>
  <si>
    <t>Mortgage的SUM</t>
  </si>
  <si>
    <t>Childcare的SUM</t>
  </si>
  <si>
    <t>Transport%</t>
  </si>
  <si>
    <t>Living%</t>
  </si>
  <si>
    <t>Bill%</t>
  </si>
  <si>
    <t>Groceries%</t>
  </si>
  <si>
    <t>Dine%</t>
  </si>
  <si>
    <t>RMIT%</t>
  </si>
  <si>
    <t>Mortgage%</t>
  </si>
  <si>
    <t>Childcare%</t>
  </si>
  <si>
    <t>2020 總計</t>
  </si>
  <si>
    <t>2021 總計</t>
  </si>
  <si>
    <t>2022 總計</t>
  </si>
  <si>
    <t>2023 總計</t>
  </si>
  <si>
    <t>2024 總計</t>
  </si>
  <si>
    <t>2025 總計</t>
  </si>
  <si>
    <t>總和</t>
  </si>
  <si>
    <t>Equity Date</t>
  </si>
  <si>
    <t>Estimated Home Value (AUD)</t>
  </si>
  <si>
    <t>Outstanding Mortgage (AUD)</t>
  </si>
  <si>
    <t>Home Equity (AUD)</t>
  </si>
  <si>
    <t>Expense log</t>
  </si>
  <si>
    <t>Deposit</t>
  </si>
  <si>
    <t>TV + Washing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</si>
</sst>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NT$-404]#,##0.00"/>
    <numFmt numFmtId="165" formatCode="[$$]#,##0.00"/>
    <numFmt numFmtId="166" formatCode="yyyy&quot;/&quot;m"/>
    <numFmt numFmtId="167" formatCode="am/pm h:mm:ss"/>
    <numFmt numFmtId="168" formatCode="dd/mm/yyyy"/>
    <numFmt numFmtId="169" formatCode="yyyy/m/d"/>
    <numFmt numFmtId="170" formatCode="&quot;$&quot;#,##0"/>
    <numFmt numFmtId="171" formatCode="&quot;$&quot;#,##0.00"/>
    <numFmt numFmtId="172" formatCode="d/m/yyyy"/>
    <numFmt numFmtId="173" formatCode="[$$AUD]#,##0.00"/>
    <numFmt numFmtId="174" formatCode="mm/yyyy"/>
  </numFmts>
  <fonts count="16">
    <font>
      <sz val="10.0"/>
      <color rgb="FF000000"/>
      <name val="Arial"/>
    </font>
    <font/>
    <font>
      <b/>
    </font>
    <font>
      <b/>
      <color rgb="FFFFFF00"/>
    </font>
    <font>
      <b/>
      <color rgb="FF0000FF"/>
    </font>
    <font>
      <b/>
      <sz val="11.0"/>
      <color rgb="FF000000"/>
      <name val="Inconsolata"/>
    </font>
    <font>
      <b/>
      <sz val="12.0"/>
    </font>
    <font>
      <sz val="12.0"/>
    </font>
    <font>
      <sz val="11.0"/>
    </font>
    <font>
      <b/>
      <color rgb="FF00FF00"/>
    </font>
    <font>
      <sz val="11.0"/>
      <color rgb="FF000000"/>
      <name val="Arial"/>
    </font>
    <font>
      <b/>
      <sz val="36.0"/>
    </font>
    <font>
      <b/>
      <sz val="11.0"/>
      <color rgb="FF000000"/>
      <name val="Arial"/>
    </font>
    <font>
      <b/>
      <sz val="15.0"/>
    </font>
    <font>
      <b/>
      <sz val="14.0"/>
      <color rgb="FF000000"/>
      <name val="Arial"/>
    </font>
    <font>
      <b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2" fontId="2" numFmtId="165" xfId="0" applyAlignment="1" applyBorder="1" applyFill="1" applyFont="1" applyNumberFormat="1">
      <alignment horizontal="center" readingOrder="0"/>
    </xf>
    <xf borderId="2" fillId="3" fontId="3" numFmtId="165" xfId="0" applyAlignment="1" applyBorder="1" applyFill="1" applyFont="1" applyNumberFormat="1">
      <alignment horizontal="center" readingOrder="0"/>
    </xf>
    <xf borderId="2" fillId="4" fontId="4" numFmtId="165" xfId="0" applyAlignment="1" applyBorder="1" applyFill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3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/>
    </xf>
    <xf borderId="0" fillId="2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4" fontId="4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5" fontId="5" numFmtId="0" xfId="0" applyAlignment="1" applyFill="1" applyFont="1">
      <alignment horizontal="center"/>
    </xf>
    <xf borderId="4" fillId="0" fontId="1" numFmtId="166" xfId="0" applyAlignment="1" applyBorder="1" applyFont="1" applyNumberFormat="1">
      <alignment horizontal="center" readingOrder="0"/>
    </xf>
    <xf borderId="0" fillId="3" fontId="3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5" fillId="0" fontId="1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1" numFmtId="167" xfId="0" applyAlignment="1" applyFont="1" applyNumberFormat="1">
      <alignment horizontal="center" readingOrder="0"/>
    </xf>
    <xf borderId="6" fillId="4" fontId="4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8" numFmtId="165" xfId="0" applyAlignment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6" fillId="0" fontId="2" numFmtId="165" xfId="0" applyAlignment="1" applyBorder="1" applyFont="1" applyNumberFormat="1">
      <alignment horizontal="center"/>
    </xf>
    <xf borderId="4" fillId="0" fontId="1" numFmtId="169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/>
    </xf>
    <xf borderId="0" fillId="5" fontId="10" numFmtId="0" xfId="0" applyAlignment="1" applyFont="1">
      <alignment horizontal="center"/>
    </xf>
    <xf borderId="6" fillId="2" fontId="2" numFmtId="165" xfId="0" applyAlignment="1" applyBorder="1" applyFont="1" applyNumberFormat="1">
      <alignment horizontal="center"/>
    </xf>
    <xf borderId="6" fillId="3" fontId="3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4" fillId="0" fontId="2" numFmtId="0" xfId="0" applyAlignment="1" applyBorder="1" applyFont="1">
      <alignment horizontal="center" readingOrder="0"/>
    </xf>
    <xf borderId="0" fillId="2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 readingOrder="0"/>
    </xf>
    <xf borderId="0" fillId="4" fontId="4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5" fillId="0" fontId="1" numFmtId="165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 readingOrder="0"/>
    </xf>
    <xf borderId="6" fillId="2" fontId="2" numFmtId="165" xfId="0" applyAlignment="1" applyBorder="1" applyFont="1" applyNumberFormat="1">
      <alignment horizontal="center"/>
    </xf>
    <xf borderId="6" fillId="4" fontId="4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1" numFmtId="0" xfId="0" applyBorder="1" applyFont="1"/>
    <xf borderId="0" fillId="0" fontId="2" numFmtId="170" xfId="0" applyAlignment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0" fillId="5" fontId="5" numFmtId="170" xfId="0" applyAlignment="1" applyFont="1" applyNumberFormat="1">
      <alignment horizontal="center"/>
    </xf>
    <xf borderId="0" fillId="0" fontId="1" numFmtId="170" xfId="0" applyAlignment="1" applyFont="1" applyNumberFormat="1">
      <alignment horizontal="center" readingOrder="0"/>
    </xf>
    <xf borderId="0" fillId="0" fontId="1" numFmtId="171" xfId="0" applyAlignment="1" applyFont="1" applyNumberFormat="1">
      <alignment horizontal="center" readingOrder="0"/>
    </xf>
    <xf borderId="0" fillId="0" fontId="1" numFmtId="172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center" textRotation="0"/>
    </xf>
    <xf borderId="0" fillId="5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5" fontId="14" numFmtId="0" xfId="0" applyAlignment="1" applyFont="1">
      <alignment horizontal="center"/>
    </xf>
    <xf borderId="12" fillId="0" fontId="2" numFmtId="165" xfId="0" applyAlignment="1" applyBorder="1" applyFont="1" applyNumberFormat="1">
      <alignment horizontal="center" readingOrder="0"/>
    </xf>
    <xf borderId="12" fillId="0" fontId="9" numFmtId="165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2" numFmtId="173" xfId="0" applyAlignment="1" applyFont="1" applyNumberFormat="1">
      <alignment horizontal="center"/>
    </xf>
    <xf borderId="0" fillId="0" fontId="1" numFmtId="168" xfId="0" applyAlignment="1" applyFont="1" applyNumberFormat="1">
      <alignment readingOrder="0"/>
    </xf>
    <xf borderId="0" fillId="0" fontId="1" numFmtId="173" xfId="0" applyAlignment="1" applyFont="1" applyNumberFormat="1">
      <alignment horizontal="center" readingOrder="0"/>
    </xf>
    <xf borderId="0" fillId="2" fontId="15" numFmtId="0" xfId="0" applyAlignment="1" applyFont="1">
      <alignment horizontal="center" readingOrder="0"/>
    </xf>
    <xf borderId="0" fillId="0" fontId="1" numFmtId="173" xfId="0" applyAlignment="1" applyFont="1" applyNumberFormat="1">
      <alignment horizontal="center" readingOrder="0"/>
    </xf>
    <xf borderId="0" fillId="0" fontId="1" numFmtId="17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Roboto"/>
              </a:defRPr>
            </a:pPr>
            <a:r>
              <a:rPr b="0">
                <a:solidFill>
                  <a:srgbClr val="FF9900"/>
                </a:solidFill>
                <a:latin typeface="Roboto"/>
              </a:rPr>
              <a:t>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'2022'!$E$1:$L$1</c:f>
            </c:strRef>
          </c:cat>
          <c:val>
            <c:numRef>
              <c:f>'2022'!$P$293:$V$293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Roboto"/>
              </a:defRPr>
            </a:pPr>
            <a:r>
              <a:rPr b="0">
                <a:solidFill>
                  <a:srgbClr val="FF9900"/>
                </a:solidFill>
                <a:latin typeface="Roboto"/>
              </a:rPr>
              <a:t>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'2021'!$E$1:$K$1</c:f>
            </c:strRef>
          </c:cat>
          <c:val>
            <c:numRef>
              <c:f>'2021'!$O$293:$U$293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Monthly Income and Expenses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Total_earning!$A$2:$A$61</c:f>
            </c:strRef>
          </c:cat>
          <c:val>
            <c:numRef>
              <c:f>Total_earning!$B$2:$B$61</c:f>
              <c:numCache/>
            </c:numRef>
          </c:val>
        </c:ser>
        <c:ser>
          <c:idx val="1"/>
          <c:order val="1"/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30"/>
          </c:dPt>
          <c:cat>
            <c:strRef>
              <c:f>Total_earning!$A$2:$A$61</c:f>
            </c:strRef>
          </c:cat>
          <c:val>
            <c:numRef>
              <c:f>Total_earning!$C$2:$C$61</c:f>
              <c:numCache/>
            </c:numRef>
          </c:val>
        </c:ser>
        <c:ser>
          <c:idx val="2"/>
          <c:order val="2"/>
          <c:cat>
            <c:strRef>
              <c:f>Total_earning!$A$2:$A$61</c:f>
            </c:strRef>
          </c:cat>
          <c:val>
            <c:numRef>
              <c:f>Total_earning!$D$2:$D$61</c:f>
              <c:numCache/>
            </c:numRef>
          </c:val>
        </c:ser>
        <c:overlap val="100"/>
        <c:axId val="587802936"/>
        <c:axId val="1177705462"/>
      </c:barChart>
      <c:catAx>
        <c:axId val="587802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7705462"/>
      </c:catAx>
      <c:valAx>
        <c:axId val="1177705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AUD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802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2021 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Pivot!$N$1:$U$1</c:f>
            </c:strRef>
          </c:cat>
          <c:val>
            <c:numRef>
              <c:f>Pivot!$N$3:$U$3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2024 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Pivot!$N$1:$U$1</c:f>
            </c:strRef>
          </c:cat>
          <c:val>
            <c:numRef>
              <c:f>Pivot!$N$6:$U$6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Change in Expense type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Pivot!$N$2:$N$6</c:f>
              <c:numCache/>
            </c:numRef>
          </c:val>
          <c:smooth val="0"/>
        </c:ser>
        <c:ser>
          <c:idx val="1"/>
          <c:order val="1"/>
          <c:tx>
            <c:strRef>
              <c:f>Pivot!$O$1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Pivot!$O$2:$O$6</c:f>
              <c:numCache/>
            </c:numRef>
          </c:val>
          <c:smooth val="0"/>
        </c:ser>
        <c:ser>
          <c:idx val="2"/>
          <c:order val="2"/>
          <c:tx>
            <c:strRef>
              <c:f>Pivot!$P$1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Pivot!$P$2:$P$6</c:f>
              <c:numCache/>
            </c:numRef>
          </c:val>
          <c:smooth val="0"/>
        </c:ser>
        <c:ser>
          <c:idx val="3"/>
          <c:order val="3"/>
          <c:tx>
            <c:strRef>
              <c:f>Pivot!$Q$1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Pivot!$Q$2:$Q$6</c:f>
              <c:numCache/>
            </c:numRef>
          </c:val>
          <c:smooth val="0"/>
        </c:ser>
        <c:ser>
          <c:idx val="4"/>
          <c:order val="4"/>
          <c:tx>
            <c:strRef>
              <c:f>Pivot!$R$1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Pivot!$R$2:$R$6</c:f>
              <c:numCache/>
            </c:numRef>
          </c:val>
          <c:smooth val="0"/>
        </c:ser>
        <c:ser>
          <c:idx val="5"/>
          <c:order val="5"/>
          <c:tx>
            <c:strRef>
              <c:f>Pivot!$S$1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Pivot!$S$2:$S$6</c:f>
              <c:numCache/>
            </c:numRef>
          </c:val>
          <c:smooth val="0"/>
        </c:ser>
        <c:ser>
          <c:idx val="6"/>
          <c:order val="6"/>
          <c:tx>
            <c:strRef>
              <c:f>Pivot!$T$1</c:f>
            </c:strRef>
          </c:tx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Pivot!$T$2:$T$6</c:f>
              <c:numCache/>
            </c:numRef>
          </c:val>
          <c:smooth val="0"/>
        </c:ser>
        <c:ser>
          <c:idx val="7"/>
          <c:order val="7"/>
          <c:tx>
            <c:strRef>
              <c:f>Pivot!$U$1</c:f>
            </c:strRef>
          </c:tx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Pivot!$A$2:$A$6</c:f>
            </c:strRef>
          </c:cat>
          <c:val>
            <c:numRef>
              <c:f>Pivot!$U$2:$U$6</c:f>
              <c:numCache/>
            </c:numRef>
          </c:val>
          <c:smooth val="0"/>
        </c:ser>
        <c:axId val="1344769111"/>
        <c:axId val="1983080494"/>
      </c:lineChart>
      <c:catAx>
        <c:axId val="1344769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3080494"/>
      </c:catAx>
      <c:valAx>
        <c:axId val="1983080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4769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Budget Trends 2020-2025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Pivot!$A$2:$A$7</c:f>
            </c:strRef>
          </c:cat>
          <c:val>
            <c:numRef>
              <c:f>Pivot!$B$2:$B$7</c:f>
              <c:numCache/>
            </c:numRef>
          </c:val>
          <c:smooth val="0"/>
        </c:ser>
        <c:ser>
          <c:idx val="1"/>
          <c:order val="1"/>
          <c:tx>
            <c:strRef>
              <c:f>Pivot!$C$1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Pivot!$A$2:$A$7</c:f>
            </c:strRef>
          </c:cat>
          <c:val>
            <c:numRef>
              <c:f>Pivot!$C$2:$C$7</c:f>
              <c:numCache/>
            </c:numRef>
          </c:val>
          <c:smooth val="0"/>
        </c:ser>
        <c:ser>
          <c:idx val="2"/>
          <c:order val="2"/>
          <c:tx>
            <c:strRef>
              <c:f>Pivot!$D$1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Pivot!$A$2:$A$7</c:f>
            </c:strRef>
          </c:cat>
          <c:val>
            <c:numRef>
              <c:f>Pivot!$D$2:$D$7</c:f>
              <c:numCache/>
            </c:numRef>
          </c:val>
          <c:smooth val="0"/>
        </c:ser>
        <c:axId val="277218931"/>
        <c:axId val="1285888313"/>
      </c:lineChart>
      <c:catAx>
        <c:axId val="277218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5888313"/>
      </c:catAx>
      <c:valAx>
        <c:axId val="1285888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7218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Home Equity (AUD)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'324'!$D$1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'324'!$A$2:$A$25</c:f>
            </c:numRef>
          </c:xVal>
          <c:yVal>
            <c:numRef>
              <c:f>'324'!$D$2:$D$25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561018"/>
        <c:axId val="1103970719"/>
      </c:scatterChart>
      <c:valAx>
        <c:axId val="20235610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Equity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3970719"/>
      </c:valAx>
      <c:valAx>
        <c:axId val="1103970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3561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Chart5.png"/><Relationship Id="rId4" Type="http://schemas.openxmlformats.org/officeDocument/2006/relationships/image" Target="../media/Chart6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123825</xdr:colOff>
      <xdr:row>14</xdr:row>
      <xdr:rowOff>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123825</xdr:colOff>
      <xdr:row>14</xdr:row>
      <xdr:rowOff>0</xdr:rowOff>
    </xdr:from>
    <xdr:ext cx="5715000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68</xdr:row>
      <xdr:rowOff>57150</xdr:rowOff>
    </xdr:from>
    <xdr:ext cx="10429875" cy="644842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123825</xdr:colOff>
      <xdr:row>15</xdr:row>
      <xdr:rowOff>123825</xdr:rowOff>
    </xdr:from>
    <xdr:ext cx="5715000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104775</xdr:rowOff>
    </xdr:from>
    <xdr:ext cx="5715000" cy="3533775"/>
    <xdr:pic>
      <xdr:nvPicPr>
        <xdr:cNvPr id="155297836" name="Chart5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33</xdr:row>
      <xdr:rowOff>190500</xdr:rowOff>
    </xdr:from>
    <xdr:ext cx="5715000" cy="3533775"/>
    <xdr:pic>
      <xdr:nvPicPr>
        <xdr:cNvPr id="102518695" name="Chart6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18</xdr:row>
      <xdr:rowOff>190500</xdr:rowOff>
    </xdr:from>
    <xdr:ext cx="4629150" cy="2867025"/>
    <xdr:graphicFrame>
      <xdr:nvGraphicFramePr>
        <xdr:cNvPr id="7" name="Chart 7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933450</xdr:colOff>
      <xdr:row>15</xdr:row>
      <xdr:rowOff>28575</xdr:rowOff>
    </xdr:from>
    <xdr:ext cx="5715000" cy="3533775"/>
    <xdr:graphicFrame>
      <xdr:nvGraphicFramePr>
        <xdr:cNvPr id="8" name="Chart 8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16</xdr:col>
      <xdr:colOff>952500</xdr:colOff>
      <xdr:row>35</xdr:row>
      <xdr:rowOff>95250</xdr:rowOff>
    </xdr:from>
    <xdr:ext cx="5715000" cy="3533775"/>
    <xdr:graphicFrame>
      <xdr:nvGraphicFramePr>
        <xdr:cNvPr id="9" name="Chart 9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</xdr:row>
      <xdr:rowOff>19050</xdr:rowOff>
    </xdr:from>
    <xdr:ext cx="5715000" cy="3533775"/>
    <xdr:graphicFrame>
      <xdr:nvGraphicFramePr>
        <xdr:cNvPr id="10" name="Chart 10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73" sheet="Total_earning"/>
  </cacheSource>
  <cacheFields>
    <cacheField name="YEAR" numFmtId="0">
      <sharedItems containsSemiMixedTypes="0" containsString="0" containsNumber="1" containsInteger="1">
        <n v="2020.0"/>
        <n v="2021.0"/>
        <n v="2022.0"/>
        <n v="2023.0"/>
        <n v="2024.0"/>
        <n v="2025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Expense" numFmtId="0">
      <sharedItems containsSemiMixedTypes="0" containsString="0" containsNumber="1">
        <n v="-2325.08"/>
        <n v="-2238.7900000000004"/>
        <n v="-7341.570000000001"/>
        <n v="-2233.2400000000002"/>
        <n v="-4347.429999999999"/>
        <n v="-2016.8100000000002"/>
        <n v="-4377.549999999999"/>
        <n v="-8208.130000000001"/>
        <n v="-4292.0199999999995"/>
        <n v="-2926.93"/>
        <n v="-7533.369999999998"/>
        <n v="-4424.19"/>
        <n v="-4546.05"/>
        <n v="-4022.84"/>
        <n v="-9522.24"/>
        <n v="-3484.770000000001"/>
        <n v="-4418.269999999999"/>
        <n v="-4732.869999999999"/>
        <n v="-9434.339999999998"/>
        <n v="-9442.08"/>
        <n v="-6645.2"/>
        <n v="-7835.089999999999"/>
        <n v="-6716.279999999999"/>
        <n v="-2944.9100000000003"/>
        <n v="-5045.13"/>
        <n v="-4644.96"/>
        <n v="-7774.839999999999"/>
        <n v="-5793.349999999999"/>
        <n v="-4398.679999999999"/>
        <n v="-9688.970000000001"/>
        <n v="-12560.029999999999"/>
        <n v="-11976.91"/>
        <n v="-6346.19"/>
        <n v="-5861.75"/>
        <n v="-9053.85"/>
        <n v="-16146.66"/>
        <n v="-5886.78"/>
        <n v="-7471.21"/>
        <n v="-10331.23"/>
        <n v="-6071.86"/>
        <n v="-4116.1900000000005"/>
        <n v="-8517.79"/>
        <n v="-13309.72"/>
        <n v="-7082.039999999999"/>
        <n v="-7514.69"/>
        <n v="-8817.13"/>
        <n v="-11427.02"/>
        <n v="-28649.820000000003"/>
        <n v="-11119.65"/>
        <n v="-7312.46"/>
        <n v="-9126.060000000001"/>
        <n v="-6446.790000000001"/>
        <n v="-7983.290000000001"/>
        <n v="-5040.56"/>
        <n v="-10938.0"/>
        <n v="-5781.300000000001"/>
        <n v="-6120.54"/>
        <n v="-6570.889999999999"/>
        <n v="-8771.890000000001"/>
        <n v="-13691.1"/>
        <n v="-11256.84"/>
        <n v="-6822.81"/>
        <n v="-12781.32"/>
        <n v="-6219.8"/>
        <n v="-6466.070000000001"/>
        <n v="-8757.380000000001"/>
        <n v="-7019.42"/>
        <n v="-5931.6900000000005"/>
        <n v="-12784.76"/>
        <n v="-7441.090000000001"/>
        <n v="-9227.8"/>
        <n v="-5067.88"/>
      </sharedItems>
    </cacheField>
    <cacheField name="income" numFmtId="0">
      <sharedItems containsSemiMixedTypes="0" containsString="0" containsNumber="1">
        <n v="5800.0"/>
        <n v="6670.5599999999995"/>
        <n v="6975.519999999999"/>
        <n v="5752.0599999999995"/>
        <n v="4718.97"/>
        <n v="6233.969999999999"/>
        <n v="14377.380000000001"/>
        <n v="4898.3"/>
        <n v="7877.599999999999"/>
        <n v="2847.19"/>
        <n v="4917.39"/>
        <n v="5869.9400000000005"/>
        <n v="4787.32"/>
        <n v="5244.629999999999"/>
        <n v="6870.83"/>
        <n v="4899.62"/>
        <n v="5290.61"/>
        <n v="2717.1000000000004"/>
        <n v="9980.34"/>
        <n v="8090.33"/>
        <n v="10360.59"/>
        <n v="9938.69"/>
        <n v="12165.04"/>
        <n v="6155.67"/>
        <n v="10557.88"/>
        <n v="8373.77"/>
        <n v="11850.93"/>
        <n v="9846.13"/>
        <n v="9554.109999999999"/>
        <n v="12136.95"/>
        <n v="18385.52"/>
        <n v="12238.99"/>
        <n v="9561.500000000002"/>
        <n v="10052.65"/>
        <n v="12852.000000000002"/>
        <n v="9407.24"/>
        <n v="12655.27"/>
        <n v="8569.45"/>
        <n v="11967.09"/>
        <n v="14947.84"/>
        <n v="5048.0199999999995"/>
        <n v="11352.46"/>
        <n v="10376.98"/>
        <n v="10836.529999999999"/>
        <n v="10501.82"/>
        <n v="11032.25"/>
        <n v="17470.73"/>
        <n v="10103.489999999998"/>
        <n v="10575.24"/>
        <n v="7525.170000000001"/>
        <n v="8490.39"/>
        <n v="8352.56"/>
        <n v="12660.31"/>
        <n v="8567.76"/>
        <n v="9068.08"/>
        <n v="9605.220000000001"/>
        <n v="14627.4"/>
        <n v="9694.22"/>
        <n v="10219.83"/>
        <n v="9211.6"/>
        <n v="8009.630000000001"/>
        <n v="8546.99"/>
        <n v="11448.890000000001"/>
        <n v="8706.82"/>
        <n v="8105.15"/>
        <n v="8059.89"/>
        <n v="11027.150000000001"/>
        <n v="9801.16"/>
        <n v="13473.539999999999"/>
        <n v="9953.6"/>
        <n v="9595.609999999999"/>
      </sharedItems>
    </cacheField>
    <cacheField name="Net Profit" numFmtId="0">
      <sharedItems containsSemiMixedTypes="0" containsString="0" containsNumber="1">
        <n v="3474.92"/>
        <n v="4431.769999999999"/>
        <n v="-366.050000000002"/>
        <n v="3518.8199999999993"/>
        <n v="371.5400000000009"/>
        <n v="4217.159999999999"/>
        <n v="9999.830000000002"/>
        <n v="-3309.830000000001"/>
        <n v="3585.58"/>
        <n v="-79.73999999999978"/>
        <n v="-2615.9799999999977"/>
        <n v="1445.750000000001"/>
        <n v="241.26999999999953"/>
        <n v="1221.789999999999"/>
        <n v="-2651.41"/>
        <n v="1414.849999999999"/>
        <n v="872.340000000001"/>
        <n v="-2015.7699999999986"/>
        <n v="546.0000000000018"/>
        <n v="-1351.75"/>
        <n v="3715.3900000000003"/>
        <n v="2103.6000000000013"/>
        <n v="5448.760000000002"/>
        <n v="3210.7599999999998"/>
        <n v="5512.749999999999"/>
        <n v="3728.8100000000004"/>
        <n v="4076.090000000001"/>
        <n v="4052.7799999999997"/>
        <n v="5155.429999999999"/>
        <n v="2447.9799999999996"/>
        <n v="5825.490000000002"/>
        <n v="262.0799999999999"/>
        <n v="3215.310000000002"/>
        <n v="4190.9"/>
        <n v="3798.1500000000015"/>
        <n v="-6739.42"/>
        <n v="6768.490000000001"/>
        <n v="1098.2400000000007"/>
        <n v="1635.8600000000006"/>
        <n v="8875.98"/>
        <n v="931.829999999999"/>
        <n v="2834.6699999999983"/>
        <n v="-2932.74"/>
        <n v="3754.49"/>
        <n v="2987.13"/>
        <n v="2215.120000000001"/>
        <n v="6043.709999999999"/>
        <n v="-18546.330000000005"/>
        <n v="-544.4099999999999"/>
        <n v="212.71000000000095"/>
        <n v="-635.6700000000019"/>
        <n v="1905.7699999999986"/>
        <n v="4677.019999999999"/>
        <n v="3527.2"/>
        <n v="-1869.92"/>
        <n v="3823.92"/>
        <n v="3484.680000000001"/>
        <n v="8056.51"/>
        <n v="922.3299999999981"/>
        <n v="-3471.2700000000004"/>
        <n v="-2045.2399999999998"/>
        <n v="1186.8200000000006"/>
        <n v="-4234.33"/>
        <n v="5229.090000000001"/>
        <n v="2240.749999999999"/>
        <n v="-652.2300000000014"/>
        <n v="1040.4700000000003"/>
        <n v="5095.460000000001"/>
        <n v="-2983.6000000000004"/>
        <n v="6032.449999999998"/>
        <n v="725.8000000000011"/>
        <n v="4527.729999999999"/>
      </sharedItems>
    </cacheField>
    <cacheField name="Transport" numFmtId="0">
      <sharedItems containsSemiMixedTypes="0" containsString="0" containsNumber="1">
        <n v="-342.31"/>
        <n v="-150.3"/>
        <n v="-197.97"/>
        <n v="-124.17999999999998"/>
        <n v="-160.57999999999998"/>
        <n v="-129.26999999999998"/>
        <n v="-188.26999999999998"/>
        <n v="-5.589999999999996"/>
        <n v="-97.78999999999999"/>
        <n v="-39.14"/>
        <n v="-203.62"/>
        <n v="-217.34"/>
        <n v="-1159.3999999999999"/>
        <n v="-396.44"/>
        <n v="-236.24000000000004"/>
        <n v="-253.32"/>
        <n v="-182.92"/>
        <n v="-99.38"/>
        <n v="-227.07"/>
        <n v="-279.96"/>
        <n v="-219.48000000000002"/>
        <n v="-1248.28"/>
        <n v="-393.05"/>
        <n v="-423.50999999999993"/>
        <n v="-338.45"/>
        <n v="-384.42999999999995"/>
        <n v="-414.24"/>
        <n v="-112.64999999999999"/>
        <n v="-20.0"/>
        <n v="-78.75"/>
        <n v="-67.60000000000001"/>
        <n v="-62.64"/>
        <n v="-10.0"/>
        <n v="-81.3"/>
        <n v="-49.15"/>
        <n v="-120.0"/>
        <n v="0.0"/>
        <n v="-1914.72"/>
        <n v="-13.44"/>
        <n v="-41.5"/>
        <n v="-80.0"/>
        <n v="-4359.75"/>
        <n v="-24.0"/>
        <n v="-1126.33"/>
        <n v="-223.18"/>
        <n v="-257.95"/>
        <n v="-100.0"/>
        <n v="-2423.12"/>
        <n v="-65.13"/>
        <n v="-31.779999999999998"/>
        <n v="-22.69"/>
        <n v="-27.299999999999997"/>
        <n v="-22.0"/>
        <n v="-976.9"/>
        <n v="-30.0"/>
        <n v="-5.6"/>
        <n v="-90.0"/>
        <n v="-14.0"/>
        <n v="-236.04"/>
        <n v="-1597.13"/>
        <n v="-14.97"/>
      </sharedItems>
    </cacheField>
    <cacheField name="Living" numFmtId="0">
      <sharedItems containsSemiMixedTypes="0" containsString="0" containsNumber="1">
        <n v="-1731.65"/>
        <n v="-1806.2600000000002"/>
        <n v="-1477.6499999999999"/>
        <n v="-1560.4"/>
        <n v="-3976.85"/>
        <n v="-1432.5900000000001"/>
        <n v="-3501.8700000000003"/>
        <n v="-2057.14"/>
        <n v="-2221.73"/>
        <n v="-1459.5100000000002"/>
        <n v="-4628.360000000001"/>
        <n v="-2413.63"/>
        <n v="-1594.28"/>
        <n v="-1531.4"/>
        <n v="-1969.6399999999999"/>
        <n v="-1927.9500000000005"/>
        <n v="-1964.48"/>
        <n v="-1780.1499999999999"/>
        <n v="-1970.9900000000002"/>
        <n v="-2127.2100000000005"/>
        <n v="-1903.9800000000002"/>
        <n v="-2911.03"/>
        <n v="-2927.56"/>
        <n v="-2396.1099999999997"/>
        <n v="-813.08"/>
        <n v="-434.69000000000005"/>
        <n v="-1665.0699999999997"/>
        <n v="-1657.9099999999999"/>
        <n v="-442.92999999999995"/>
        <n v="-6685.749999999999"/>
        <n v="-1156.13"/>
        <n v="-4501.84"/>
        <n v="-1581.72"/>
        <n v="-1369.52"/>
        <n v="-2942.42"/>
        <n v="-1110.46"/>
        <n v="-295.51"/>
        <n v="-677.03"/>
        <n v="-345.12"/>
        <n v="-169.06"/>
        <n v="-12.0"/>
        <n v="-535.1600000000001"/>
        <n v="-5493.31"/>
        <n v="4327.710000000001"/>
        <n v="-1683.58"/>
        <n v="-2181.2999999999997"/>
        <n v="-3385.59"/>
        <n v="-3822.0499999999997"/>
        <n v="-3513.29"/>
        <n v="-322.15999999999997"/>
        <n v="-1021.26"/>
        <n v="-823.7"/>
        <n v="-2097.2"/>
        <n v="-634.9599999999999"/>
        <n v="-2619.91"/>
        <n v="-529.98"/>
        <n v="-482.06999999999994"/>
        <n v="-1809.57"/>
        <n v="-2463.7200000000003"/>
        <n v="-1126.2299999999998"/>
        <n v="-378.81999999999994"/>
        <n v="-606.5500000000001"/>
        <n v="-114.91999999999999"/>
        <n v="-615.04"/>
        <n v="-386.37"/>
        <n v="-2442.25"/>
        <n v="-881.4"/>
        <n v="2078.1400000000003"/>
        <n v="-5594.799999999999"/>
        <n v="-1210.7600000000002"/>
        <n v="-1114.86"/>
        <n v="-1527.35"/>
      </sharedItems>
    </cacheField>
    <cacheField name="Bill" numFmtId="0">
      <sharedItems containsSemiMixedTypes="0" containsString="0" containsNumber="1">
        <n v="-251.12"/>
        <n v="-282.23"/>
        <n v="-751.87"/>
        <n v="-548.6600000000001"/>
        <n v="-35.0"/>
        <n v="-40.95"/>
        <n v="-666.9000000000001"/>
        <n v="-1270.0"/>
        <n v="-1972.5"/>
        <n v="-1428.28"/>
        <n v="-2014.1"/>
        <n v="-1748.73"/>
        <n v="-1792.37"/>
        <n v="-2768.4"/>
        <n v="-1303.5"/>
        <n v="-2080.0"/>
        <n v="-1347.2"/>
        <n v="-3162.3399999999992"/>
        <n v="-604.8699999999999"/>
        <n v="-639.7399999999998"/>
        <n v="-1709.48"/>
        <n v="-666.77"/>
        <n v="-865.56"/>
        <n v="-201.19"/>
        <n v="-385.33"/>
        <n v="-1864.71"/>
        <n v="-439.93"/>
        <n v="-864.25"/>
        <n v="-343.96999999999997"/>
        <n v="-3675.52"/>
        <n v="-3723.0099999999998"/>
        <n v="-673.74"/>
        <n v="-905.01"/>
        <n v="-964.37"/>
        <n v="-849.03"/>
        <n v="-612.07"/>
        <n v="-1338.4699999999998"/>
        <n v="-3050.02"/>
        <n v="-585.07"/>
        <n v="-683.69"/>
        <n v="-1739.75"/>
        <n v="-2661.4499999999994"/>
        <n v="-961.6500000000001"/>
        <n v="-466.30000000000007"/>
        <n v="-1485.91"/>
        <n v="-1283.8000000000002"/>
        <n v="-565.4300000000001"/>
        <n v="-724.69"/>
        <n v="-953.3600000000001"/>
        <n v="-878.26"/>
        <n v="-1059.9499999999998"/>
        <n v="-879.95"/>
        <n v="-507.21000000000004"/>
        <n v="-3237.0600000000004"/>
        <n v="-635.3900000000001"/>
        <n v="-1204.6599999999999"/>
        <n v="-869.3199999999999"/>
        <n v="-666.3499999999999"/>
        <n v="-1638.81"/>
        <n v="-417.78000000000003"/>
        <n v="-1538.9"/>
        <n v="-3222.92"/>
        <n v="-707.91"/>
        <n v="-1044.16"/>
        <n v="-1709.96"/>
        <n v="-1062.7"/>
        <n v="-1929.22"/>
        <n v="-1229.71"/>
        <n v="-1082.18"/>
        <n v="-1061.3700000000001"/>
        <n v="-1532.21"/>
      </sharedItems>
    </cacheField>
    <cacheField name="Groceries" numFmtId="0">
      <sharedItems containsString="0" containsBlank="1" containsNumber="1">
        <m/>
        <n v="-1230.37"/>
        <n v="-988.27"/>
        <n v="-1151.24"/>
        <n v="-696.4300000000001"/>
        <n v="-452.94000000000005"/>
        <n v="-418.28000000000003"/>
        <n v="-593.6399999999999"/>
        <n v="-987.8399999999999"/>
        <n v="-935.8499999999999"/>
        <n v="-569.33"/>
        <n v="-339.25"/>
        <n v="-573.97"/>
        <n v="-1289.48"/>
        <n v="-1768.98"/>
        <n v="-1059.23"/>
        <n v="-1250.69"/>
        <n v="-255.38000000000005"/>
        <n v="-1384.54"/>
        <n v="-1030.41"/>
        <n v="-1307.7700000000002"/>
        <n v="-1489.1200000000001"/>
        <n v="-1517.11"/>
        <n v="-1926.97"/>
        <n v="-1051.2"/>
        <n v="-1693.1899999999998"/>
        <n v="-1430.25"/>
        <n v="-910.8900000000001"/>
        <n v="-1094.51"/>
        <n v="-1215.77"/>
        <n v="-815.9399999999997"/>
        <n v="-1474.9299999999998"/>
        <n v="-1098.01"/>
        <n v="-1141.4"/>
        <n v="-961.93"/>
        <n v="-1549.13"/>
        <n v="-1339.2099999999996"/>
        <n v="-1829.5499999999997"/>
        <n v="-1308.15"/>
        <n v="-1230.51"/>
        <n v="-1554.5000000000002"/>
        <n v="-1451.8200000000002"/>
        <n v="-1289.4099999999999"/>
        <n v="-1374.2100000000003"/>
        <n v="-1432.11"/>
        <n v="-1296.2499999999998"/>
        <n v="-809.11"/>
        <n v="-978.5000000000001"/>
        <n v="-1276.8"/>
      </sharedItems>
    </cacheField>
    <cacheField name="Dine" numFmtId="0">
      <sharedItems containsSemiMixedTypes="0" containsString="0" containsNumber="1">
        <n v="0.0"/>
        <n v="-175.0"/>
        <n v="-414.0"/>
        <n v="-20.51"/>
        <n v="-687.29"/>
        <n v="-190.87"/>
        <n v="-845.9"/>
        <n v="-350.92999999999995"/>
        <n v="-365.68"/>
        <n v="-507.75999999999993"/>
        <n v="-786.2300000000001"/>
        <n v="-518.36"/>
        <n v="-62.02000000000001"/>
        <n v="-281.94"/>
        <n v="-367.14"/>
        <n v="-570.97"/>
        <n v="-497.18"/>
        <n v="-392.26"/>
        <n v="-56.8"/>
        <n v="-665.32"/>
        <n v="-433.29999999999995"/>
        <n v="-512.64"/>
        <n v="-833.2999999999998"/>
        <n v="-231.32"/>
        <n v="-675.7499999999999"/>
        <n v="-386.80999999999995"/>
        <n v="-654.53"/>
        <n v="-607.4"/>
        <n v="-733.85"/>
        <n v="-565.93"/>
        <n v="-379.21999999999997"/>
        <n v="-505.6599999999999"/>
        <n v="-272.75"/>
        <n v="-717.93"/>
        <n v="-424.9"/>
        <n v="-491.3"/>
        <n v="-551.9599999999999"/>
        <n v="-261.57"/>
        <n v="-563.32"/>
        <n v="-498.13000000000005"/>
        <n v="-84.95"/>
        <n v="-630.2099999999999"/>
        <n v="-579.6"/>
        <n v="-598.3499999999999"/>
        <n v="-376.93000000000006"/>
        <n v="-269.92"/>
        <n v="-412.4699999999999"/>
        <n v="-529.44"/>
        <n v="-371.48"/>
        <n v="-587.86"/>
        <n v="-664.8500000000001"/>
        <n v="-709.8800000000001"/>
        <n v="-116.2"/>
        <n v="-562.0799999999999"/>
        <n v="-473.25"/>
      </sharedItems>
    </cacheField>
    <cacheField name="RMIT" numFmtId="0">
      <sharedItems containsSemiMixedTypes="0" containsString="0" containsNumber="1">
        <n v="0.0"/>
        <n v="-4914.08"/>
        <n v="-4875.4"/>
        <n v="-44.49"/>
        <n v="-825.0"/>
        <n v="-4547.96"/>
        <n v="-1506.1399999999999"/>
        <n v="-4073.9399999999996"/>
        <n v="-4547.04"/>
        <n v="-1999.0"/>
        <n v="-83.3"/>
        <n v="-14545.0"/>
        <n v="-2000.0"/>
        <n v="-10000.0"/>
        <n v="-430.0"/>
        <n v="-214.15"/>
        <n v="-30.55"/>
        <n v="-20000.0"/>
        <n v="-1300.0"/>
        <n v="-1451.74"/>
        <n v="-196.0"/>
        <n v="100.0"/>
        <n v="-5000.0"/>
        <n v="-38.0"/>
      </sharedItems>
    </cacheField>
    <cacheField name="Mortgage" numFmtId="0">
      <sharedItems containsSemiMixedTypes="0" containsString="0" containsNumber="1" containsInteger="1">
        <n v="0.0"/>
        <n v="-1883.0"/>
        <n v="-1889.0"/>
        <n v="-1935.0"/>
        <n v="-3040.0"/>
        <n v="-2540.0"/>
        <n v="-2590.0"/>
        <n v="-2985.0"/>
        <n v="-2629.0"/>
        <n v="-2129.0"/>
        <n v="-2529.0"/>
        <n v="-2641.0"/>
        <n v="-3036.0"/>
        <n v="-2141.0"/>
        <n v="-3641.0"/>
        <n v="-2651.0"/>
        <n v="-3410.0"/>
      </sharedItems>
    </cacheField>
    <cacheField name="Childcare" numFmtId="0">
      <sharedItems containsSemiMixedTypes="0" containsString="0" containsNumber="1">
        <n v="0.0"/>
        <n v="-228.11"/>
        <n v="-203.56"/>
        <n v="-282.82"/>
        <n v="-211.2"/>
        <n v="-351.2"/>
        <n v="-445.44000000000005"/>
        <n v="-638.9100000000001"/>
        <n v="-504.40999999999997"/>
        <n v="-431.4"/>
        <n v="-396.4"/>
        <n v="-464.4"/>
        <n v="-713.43"/>
        <n v="-859.5"/>
        <n v="-630.3000000000001"/>
        <n v="-343.8"/>
        <n v="-1121.0900000000001"/>
        <n v="-458.59000000000003"/>
        <n v="-1466.5"/>
        <n v="-615.29"/>
        <n v="-249.95999999999998"/>
        <n v="-509.40000000000003"/>
        <n v="-479.74"/>
        <n v="-495.87"/>
        <n v="-253.20000000000002"/>
        <n v="-337.6"/>
        <n v="-626.29"/>
        <n v="133.2"/>
        <n v="-281.23"/>
        <n v="-291.6"/>
        <n v="-233.28"/>
        <n v="-204.12"/>
        <n v="-344.58"/>
        <n v="-266.25"/>
        <n v="-361.34"/>
        <n v="-283.28"/>
        <n v="-302.05"/>
        <n v="-323.28"/>
        <n v="-442.25000000000006"/>
        <n v="-573.6500000000001"/>
        <n v="-530.12"/>
        <n v="-576.8000000000001"/>
        <n v="-503.86"/>
        <n v="-243.3"/>
      </sharedItems>
    </cacheField>
    <cacheField name="Will" numFmtId="0">
      <sharedItems containsSemiMixedTypes="0" containsString="0" containsNumber="1">
        <n v="1697.52"/>
        <n v="2803.03"/>
        <n v="1830.48"/>
        <n v="1146.82"/>
        <n v="1336.15"/>
        <n v="2351.5999999999995"/>
        <n v="3680.67"/>
        <n v="1875.2"/>
        <n v="3674.68"/>
        <n v="1188.49"/>
        <n v="3204.69"/>
        <n v="4130.1900000000005"/>
        <n v="2880.5899999999997"/>
        <n v="2253.2999999999997"/>
        <n v="3438.17"/>
        <n v="2271.61"/>
        <n v="2704.33"/>
        <n v="2603.07"/>
        <n v="2966.05"/>
        <n v="5305.73"/>
        <n v="6142.37"/>
        <n v="4979.85"/>
        <n v="4135.1"/>
        <n v="6174.990000000001"/>
        <n v="4825.539999999999"/>
        <n v="3359.36"/>
        <n v="4060.7500000000005"/>
        <n v="5413.68"/>
        <n v="8210.880000000001"/>
        <n v="5365.200000000001"/>
        <n v="5354.52"/>
        <n v="8584.45"/>
        <n v="5441.04"/>
        <n v="2722.06"/>
        <n v="5588.14"/>
        <n v="6086.82"/>
        <n v="10023.56"/>
        <n v="5017.0599999999995"/>
        <n v="6286.82"/>
        <n v="5113.85"/>
        <n v="9130.23"/>
        <n v="6302.02"/>
        <n v="6490.02"/>
        <n v="9954.6"/>
        <n v="6663.36"/>
        <n v="7923.17"/>
        <n v="7031.22"/>
        <n v="7162.950000000001"/>
        <n v="10546.83"/>
        <n v="7283.16"/>
        <n v="7283.0"/>
        <n v="10924.8"/>
        <n v="8429.06"/>
      </sharedItems>
    </cacheField>
    <cacheField name="Yan" numFmtId="0">
      <sharedItems containsSemiMixedTypes="0" containsString="0" containsNumber="1">
        <n v="2764.92"/>
        <n v="2529.9700000000003"/>
        <n v="4131.5599999999995"/>
        <n v="3915.84"/>
        <n v="2715.42"/>
        <n v="3198.35"/>
        <n v="9996.070000000002"/>
        <n v="2322.46"/>
        <n v="2911.37"/>
        <n v="677.82"/>
        <n v="731.82"/>
        <n v="758.87"/>
        <n v="777.92"/>
        <n v="2862.0"/>
        <n v="3335.3999999999996"/>
        <n v="2513.35"/>
        <n v="2493.99"/>
        <n v="0.0"/>
        <n v="6971.04"/>
        <n v="2221.55"/>
        <n v="3092.12"/>
        <n v="2714.74"/>
        <n v="4610.14"/>
        <n v="3181.8900000000003"/>
        <n v="4177.580000000001"/>
        <n v="3045.9700000000003"/>
        <n v="5490.5199999999995"/>
        <n v="3739.39"/>
        <n v="3447.37"/>
        <n v="3233.01"/>
        <n v="12327.259999999998"/>
        <n v="5632.17"/>
        <n v="3213.7200000000003"/>
        <n v="3704.87"/>
        <n v="3274.29"/>
        <n v="3059.46"/>
        <n v="5810.860000000001"/>
        <n v="2718.3"/>
        <n v="5277.25"/>
        <n v="2663.66"/>
        <n v="1771.51"/>
        <n v="4256.6900000000005"/>
        <n v="3755.54"/>
        <n v="4205.99"/>
        <n v="3862.12"/>
        <n v="3880.2"/>
        <n v="5873.73"/>
        <n v="3990.6800000000003"/>
        <n v="3182.52"/>
        <n v="1296.66"/>
        <n v="1368.84"/>
        <n v="2184.73"/>
        <n v="1681.1599999999999"/>
        <n v="3115.2"/>
        <n v="4672.799999999999"/>
        <n v="2924.83"/>
        <n v="2296.66"/>
        <n v="2180.38"/>
        <n v="846.6800000000001"/>
        <n v="747.4300000000001"/>
        <n v="210.03"/>
        <n v="500.03"/>
        <n v="214.62"/>
        <n v="169.52"/>
        <n v="3108.54"/>
        <n v="514.01"/>
        <n v="523.51"/>
        <n v="1677.9499999999998"/>
        <n v="1166.55"/>
      </sharedItems>
    </cacheField>
    <cacheField name="Salary Package" numFmtId="0">
      <sharedItems containsString="0" containsBlank="1" containsNumber="1">
        <n v="1337.56"/>
        <n v="1013.48"/>
        <n v="689.4"/>
        <n v="667.4"/>
        <n v="684.02"/>
        <n v="700.64"/>
        <n v="1291.55"/>
        <n v="980.88"/>
        <n v="0.0"/>
        <n v="563.05"/>
        <n v="1126.1"/>
        <n v="2244.1"/>
        <n v="3419.8"/>
        <n v="1983.05"/>
        <n v="1554.76"/>
        <n v="1968.44"/>
        <n v="2299.66"/>
        <n v="693.06"/>
        <n v="1252.3"/>
        <n v="993.26"/>
        <n v="1489.89"/>
        <n v="496.63"/>
        <n v="1335.3200000000002"/>
        <n v="6842.639999999999"/>
        <n v="530.82"/>
        <n v="1457.46"/>
        <n v="971.6400000000001"/>
        <n v="896.9"/>
        <n v="1345.35"/>
        <m/>
        <n v="106.03"/>
        <n v="768.34"/>
        <n v="692.0300000000001"/>
        <n v="1175.57"/>
        <n v="607.37"/>
        <n v="635.45"/>
        <n v="2003.9899999999998"/>
        <n v="2025.23"/>
        <n v="992.49"/>
      </sharedItems>
    </cacheField>
    <cacheField name="Interest" numFmtId="0">
      <sharedItems containsString="0" containsBlank="1" containsNumber="1">
        <m/>
        <n v="0.5"/>
        <n v="23.63"/>
        <n v="50.169999999999995"/>
        <n v="61.660000000000004"/>
        <n v="70.76"/>
        <n v="79.92"/>
        <n v="93.59"/>
        <n v="115.98"/>
        <n v="124.11"/>
        <n v="134.26000000000002"/>
        <n v="143.01999999999998"/>
        <n v="135.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M8" firstHeaderRow="0" firstDataRow="3" firstDataCol="0"/>
  <pivotFields>
    <pivotField name="YEAR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xpen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Net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ranspo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Liv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B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roce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i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RM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ortg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hildca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Wi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Y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Salary Pack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  <field x="1"/>
  </rowFields>
  <colFields>
    <field x="-2"/>
  </colFields>
  <dataFields>
    <dataField name="SUM of Net Profit" fld="4" baseField="0"/>
    <dataField name="SUM of Expense" fld="2" baseField="0"/>
    <dataField name="SUM of income" fld="3" baseField="0"/>
    <dataField name="SUM of Transport" fld="5" baseField="0"/>
    <dataField name="SUM of Living" fld="6" baseField="0"/>
    <dataField name="SUM of Bill" fld="7" baseField="0"/>
    <dataField name="SUM of Groceries" fld="8" baseField="0"/>
    <dataField name="SUM of Dine" fld="9" baseField="0"/>
    <dataField name="SUM of RMIT" fld="10" baseField="0"/>
    <dataField name="SUM of Mortgage" fld="11" baseField="0"/>
    <dataField name="SUM of Childcare" fld="12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1" max="11" width="9.13"/>
    <col customWidth="1" min="12" max="12" width="9.88"/>
    <col customWidth="1" min="14" max="14" width="14.13"/>
  </cols>
  <sheetData>
    <row r="1" ht="18.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 t="s">
        <v>11</v>
      </c>
      <c r="N1" s="7"/>
      <c r="O1" s="8"/>
      <c r="P1" s="8"/>
      <c r="Q1" s="8"/>
      <c r="R1" s="7"/>
      <c r="S1" s="7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/>
      <c r="B2" s="10">
        <f>SUM(E2:L2)</f>
        <v>0</v>
      </c>
      <c r="C2" s="11">
        <f>SUM(C3:C14)</f>
        <v>0</v>
      </c>
      <c r="D2" s="12">
        <f>SUM(B2,C2)</f>
        <v>0</v>
      </c>
      <c r="E2" s="13">
        <f t="shared" ref="E2:H2" si="1">SUM(E15:E1014)</f>
        <v>0</v>
      </c>
      <c r="F2" s="13">
        <f t="shared" si="1"/>
        <v>0</v>
      </c>
      <c r="G2" s="13">
        <f t="shared" si="1"/>
        <v>0</v>
      </c>
      <c r="H2" s="13">
        <f t="shared" si="1"/>
        <v>0</v>
      </c>
      <c r="I2" s="13">
        <f>SUM(I16:I1014)</f>
        <v>0</v>
      </c>
      <c r="J2" s="13">
        <f t="shared" ref="J2:M2" si="2">SUM(J15:J1014)</f>
        <v>0</v>
      </c>
      <c r="K2" s="13">
        <f t="shared" si="2"/>
        <v>0</v>
      </c>
      <c r="L2" s="14">
        <f t="shared" si="2"/>
        <v>0</v>
      </c>
      <c r="M2" s="14">
        <f t="shared" si="2"/>
        <v>0</v>
      </c>
      <c r="N2" s="15"/>
      <c r="O2" s="8"/>
      <c r="P2" s="8"/>
      <c r="Q2" s="8"/>
      <c r="R2" s="16"/>
      <c r="S2" s="16"/>
      <c r="T2" s="1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17">
        <v>46023.0</v>
      </c>
      <c r="B3" s="10"/>
      <c r="C3" s="18"/>
      <c r="D3" s="12"/>
      <c r="E3" s="19"/>
      <c r="F3" s="19"/>
      <c r="G3" s="19"/>
      <c r="H3" s="19"/>
      <c r="I3" s="19"/>
      <c r="J3" s="19"/>
      <c r="K3" s="19"/>
      <c r="L3" s="20"/>
      <c r="M3" s="20"/>
      <c r="N3" s="2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7">
        <v>46054.0</v>
      </c>
      <c r="B4" s="10"/>
      <c r="C4" s="18"/>
      <c r="D4" s="12"/>
      <c r="E4" s="19"/>
      <c r="F4" s="19"/>
      <c r="G4" s="19"/>
      <c r="H4" s="19"/>
      <c r="I4" s="19"/>
      <c r="J4" s="19"/>
      <c r="K4" s="19"/>
      <c r="L4" s="20"/>
      <c r="M4" s="20"/>
      <c r="N4" s="2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7">
        <v>46082.0</v>
      </c>
      <c r="B5" s="10"/>
      <c r="C5" s="18"/>
      <c r="D5" s="12"/>
      <c r="E5" s="19"/>
      <c r="F5" s="19"/>
      <c r="G5" s="19"/>
      <c r="H5" s="19"/>
      <c r="I5" s="19"/>
      <c r="J5" s="19"/>
      <c r="K5" s="19"/>
      <c r="L5" s="20"/>
      <c r="M5" s="20"/>
      <c r="N5" s="2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17">
        <v>46113.0</v>
      </c>
      <c r="B6" s="10"/>
      <c r="C6" s="18"/>
      <c r="D6" s="12"/>
      <c r="E6" s="19"/>
      <c r="F6" s="19"/>
      <c r="G6" s="19"/>
      <c r="H6" s="19"/>
      <c r="I6" s="19"/>
      <c r="J6" s="19"/>
      <c r="K6" s="19"/>
      <c r="L6" s="20"/>
      <c r="M6" s="20"/>
      <c r="N6" s="2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7">
        <v>46143.0</v>
      </c>
      <c r="B7" s="10"/>
      <c r="C7" s="18"/>
      <c r="D7" s="12"/>
      <c r="E7" s="19"/>
      <c r="F7" s="19"/>
      <c r="G7" s="19"/>
      <c r="H7" s="19"/>
      <c r="I7" s="19"/>
      <c r="J7" s="19"/>
      <c r="K7" s="19"/>
      <c r="L7" s="20"/>
      <c r="M7" s="20"/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7">
        <v>46174.0</v>
      </c>
      <c r="B8" s="10"/>
      <c r="C8" s="18"/>
      <c r="D8" s="12"/>
      <c r="E8" s="19"/>
      <c r="F8" s="19"/>
      <c r="G8" s="19"/>
      <c r="H8" s="19"/>
      <c r="I8" s="19"/>
      <c r="J8" s="19"/>
      <c r="K8" s="19"/>
      <c r="L8" s="20"/>
      <c r="M8" s="20"/>
      <c r="N8" s="2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22">
        <v>2.0</v>
      </c>
    </row>
    <row r="9">
      <c r="A9" s="17">
        <v>46204.0</v>
      </c>
      <c r="B9" s="10"/>
      <c r="C9" s="18"/>
      <c r="D9" s="12"/>
      <c r="E9" s="19"/>
      <c r="F9" s="19"/>
      <c r="G9" s="19"/>
      <c r="H9" s="19"/>
      <c r="I9" s="19"/>
      <c r="J9" s="19"/>
      <c r="K9" s="19"/>
      <c r="L9" s="20"/>
      <c r="M9" s="20"/>
      <c r="N9" s="2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17">
        <v>46235.0</v>
      </c>
      <c r="B10" s="10"/>
      <c r="C10" s="18"/>
      <c r="D10" s="12"/>
      <c r="E10" s="19"/>
      <c r="F10" s="19"/>
      <c r="G10" s="19"/>
      <c r="H10" s="19"/>
      <c r="I10" s="19"/>
      <c r="J10" s="19"/>
      <c r="K10" s="19"/>
      <c r="L10" s="20"/>
      <c r="M10" s="20"/>
      <c r="N10" s="2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7">
        <v>46266.0</v>
      </c>
      <c r="B11" s="10"/>
      <c r="C11" s="18"/>
      <c r="D11" s="12"/>
      <c r="E11" s="19"/>
      <c r="F11" s="19"/>
      <c r="G11" s="19"/>
      <c r="H11" s="19"/>
      <c r="I11" s="19"/>
      <c r="J11" s="19"/>
      <c r="K11" s="19"/>
      <c r="L11" s="20"/>
      <c r="M11" s="20"/>
      <c r="N11" s="2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17">
        <v>46296.0</v>
      </c>
      <c r="B12" s="10"/>
      <c r="C12" s="18"/>
      <c r="D12" s="12"/>
      <c r="E12" s="19"/>
      <c r="F12" s="19"/>
      <c r="G12" s="19"/>
      <c r="H12" s="19"/>
      <c r="I12" s="19"/>
      <c r="J12" s="19"/>
      <c r="K12" s="19"/>
      <c r="L12" s="20"/>
      <c r="M12" s="20"/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17">
        <v>46327.0</v>
      </c>
      <c r="B13" s="10"/>
      <c r="C13" s="18"/>
      <c r="D13" s="12"/>
      <c r="E13" s="19"/>
      <c r="F13" s="19"/>
      <c r="G13" s="19"/>
      <c r="H13" s="19"/>
      <c r="I13" s="19"/>
      <c r="J13" s="19"/>
      <c r="K13" s="19"/>
      <c r="L13" s="20"/>
      <c r="M13" s="20"/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7">
        <v>46357.0</v>
      </c>
      <c r="B14" s="10"/>
      <c r="C14" s="18"/>
      <c r="D14" s="23"/>
      <c r="E14" s="24"/>
      <c r="F14" s="24"/>
      <c r="G14" s="24"/>
      <c r="H14" s="24"/>
      <c r="I14" s="24"/>
      <c r="J14" s="24"/>
      <c r="K14" s="24"/>
      <c r="L14" s="25"/>
      <c r="M14" s="25"/>
      <c r="N14" s="2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6">
        <v>46023.0</v>
      </c>
      <c r="B15" s="19"/>
      <c r="C15" s="27"/>
      <c r="D15" s="19"/>
      <c r="E15" s="27"/>
      <c r="F15" s="27"/>
      <c r="G15" s="27"/>
      <c r="H15" s="19"/>
      <c r="J15" s="19"/>
      <c r="K15" s="19"/>
      <c r="L15" s="19"/>
      <c r="M15" s="28"/>
      <c r="N15" s="2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6">
        <v>46024.0</v>
      </c>
      <c r="B16" s="19"/>
      <c r="C16" s="27"/>
      <c r="D16" s="19"/>
      <c r="E16" s="19"/>
      <c r="F16" s="27"/>
      <c r="G16" s="19"/>
      <c r="H16" s="27"/>
      <c r="I16" s="27"/>
      <c r="J16" s="19"/>
      <c r="K16" s="19"/>
      <c r="L16" s="19"/>
      <c r="M16" s="28"/>
      <c r="N16" s="2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26">
        <v>46025.0</v>
      </c>
      <c r="B17" s="27"/>
      <c r="C17" s="27"/>
      <c r="D17" s="19"/>
      <c r="E17" s="27"/>
      <c r="F17" s="27"/>
      <c r="G17" s="27"/>
      <c r="H17" s="19"/>
      <c r="I17" s="27"/>
      <c r="J17" s="27"/>
      <c r="K17" s="27"/>
      <c r="L17" s="27"/>
      <c r="M17" s="28"/>
      <c r="N17" s="21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26">
        <v>46026.0</v>
      </c>
      <c r="B18" s="27"/>
      <c r="C18" s="27"/>
      <c r="D18" s="19"/>
      <c r="E18" s="27"/>
      <c r="F18" s="27"/>
      <c r="G18" s="27"/>
      <c r="H18" s="27"/>
      <c r="I18" s="27"/>
      <c r="J18" s="19"/>
      <c r="K18" s="19"/>
      <c r="L18" s="19"/>
      <c r="M18" s="28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29">
        <v>11222.0</v>
      </c>
    </row>
    <row r="19">
      <c r="A19" s="26">
        <v>46027.0</v>
      </c>
      <c r="B19" s="27"/>
      <c r="C19" s="27"/>
      <c r="D19" s="19"/>
      <c r="E19" s="27"/>
      <c r="F19" s="27"/>
      <c r="G19" s="27"/>
      <c r="H19" s="27"/>
      <c r="I19" s="27"/>
      <c r="J19" s="19"/>
      <c r="K19" s="19"/>
      <c r="L19" s="27"/>
      <c r="M19" s="28"/>
      <c r="N19" s="21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26">
        <v>46028.0</v>
      </c>
      <c r="B20" s="27"/>
      <c r="C20" s="27"/>
      <c r="D20" s="19"/>
      <c r="E20" s="27"/>
      <c r="F20" s="27"/>
      <c r="G20" s="27"/>
      <c r="H20" s="27"/>
      <c r="I20" s="27"/>
      <c r="J20" s="19"/>
      <c r="K20" s="19"/>
      <c r="L20" s="27"/>
      <c r="M20" s="28"/>
      <c r="N20" s="21"/>
      <c r="O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26">
        <v>46029.0</v>
      </c>
      <c r="B21" s="27"/>
      <c r="C21" s="27"/>
      <c r="D21" s="19"/>
      <c r="E21" s="27"/>
      <c r="F21" s="27"/>
      <c r="G21" s="27"/>
      <c r="H21" s="27"/>
      <c r="I21" s="27"/>
      <c r="J21" s="19"/>
      <c r="K21" s="19"/>
      <c r="L21" s="27"/>
      <c r="M21" s="28"/>
      <c r="N21" s="21"/>
      <c r="O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26">
        <v>46030.0</v>
      </c>
      <c r="B22" s="27"/>
      <c r="C22" s="27"/>
      <c r="D22" s="19"/>
      <c r="E22" s="27"/>
      <c r="F22" s="27"/>
      <c r="G22" s="27"/>
      <c r="H22" s="27"/>
      <c r="I22" s="19"/>
      <c r="J22" s="19"/>
      <c r="K22" s="27"/>
      <c r="L22" s="27"/>
      <c r="M22" s="28"/>
      <c r="N22" s="21"/>
      <c r="O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26">
        <v>46031.0</v>
      </c>
      <c r="B23" s="27"/>
      <c r="C23" s="27"/>
      <c r="D23" s="19"/>
      <c r="E23" s="27"/>
      <c r="F23" s="27"/>
      <c r="G23" s="27"/>
      <c r="H23" s="27"/>
      <c r="I23" s="19"/>
      <c r="J23" s="19"/>
      <c r="K23" s="19"/>
      <c r="L23" s="19"/>
      <c r="M23" s="28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26">
        <v>46032.0</v>
      </c>
      <c r="B24" s="27"/>
      <c r="C24" s="27"/>
      <c r="D24" s="19"/>
      <c r="E24" s="27"/>
      <c r="F24" s="27"/>
      <c r="G24" s="27"/>
      <c r="H24" s="27"/>
      <c r="I24" s="27"/>
      <c r="J24" s="19"/>
      <c r="K24" s="19"/>
      <c r="L24" s="27"/>
      <c r="M24" s="28"/>
      <c r="N24" s="21"/>
      <c r="O24" s="2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26">
        <v>46033.0</v>
      </c>
      <c r="B25" s="27"/>
      <c r="C25" s="27"/>
      <c r="D25" s="19"/>
      <c r="E25" s="27"/>
      <c r="F25" s="27"/>
      <c r="G25" s="19"/>
      <c r="H25" s="19"/>
      <c r="I25" s="27"/>
      <c r="J25" s="19"/>
      <c r="K25" s="27"/>
      <c r="L25" s="27"/>
      <c r="M25" s="28"/>
      <c r="N25" s="21"/>
      <c r="O25" s="2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9.5" customHeight="1">
      <c r="A26" s="26">
        <v>46034.0</v>
      </c>
      <c r="B26" s="27"/>
      <c r="C26" s="27"/>
      <c r="D26" s="19"/>
      <c r="E26" s="27"/>
      <c r="F26" s="27"/>
      <c r="G26" s="27"/>
      <c r="H26" s="19"/>
      <c r="I26" s="27"/>
      <c r="J26" s="19"/>
      <c r="K26" s="19"/>
      <c r="L26" s="27"/>
      <c r="M26" s="28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9.5" customHeight="1">
      <c r="A27" s="26">
        <v>46035.0</v>
      </c>
      <c r="B27" s="27"/>
      <c r="C27" s="27"/>
      <c r="D27" s="19"/>
      <c r="E27" s="27"/>
      <c r="F27" s="27"/>
      <c r="G27" s="27"/>
      <c r="H27" s="27"/>
      <c r="I27" s="27"/>
      <c r="J27" s="19"/>
      <c r="K27" s="27"/>
      <c r="L27" s="27"/>
      <c r="M27" s="30"/>
      <c r="N27" s="30"/>
      <c r="O27" s="2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9.5" customHeight="1">
      <c r="A28" s="26">
        <v>46036.0</v>
      </c>
      <c r="B28" s="27"/>
      <c r="C28" s="27"/>
      <c r="D28" s="19"/>
      <c r="E28" s="19"/>
      <c r="F28" s="27"/>
      <c r="G28" s="27"/>
      <c r="H28" s="27"/>
      <c r="I28" s="27"/>
      <c r="J28" s="19"/>
      <c r="K28" s="19"/>
      <c r="L28" s="27"/>
      <c r="M28" s="31"/>
      <c r="N28" s="30"/>
      <c r="O28" s="2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9.5" customHeight="1">
      <c r="A29" s="26">
        <v>46037.0</v>
      </c>
      <c r="B29" s="27"/>
      <c r="C29" s="27"/>
      <c r="D29" s="19"/>
      <c r="E29" s="19"/>
      <c r="F29" s="27"/>
      <c r="G29" s="27"/>
      <c r="H29" s="19"/>
      <c r="I29" s="27"/>
      <c r="J29" s="19"/>
      <c r="K29" s="19"/>
      <c r="L29" s="19"/>
      <c r="M29" s="31"/>
      <c r="N29" s="30"/>
      <c r="O29" s="2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9.5" customHeight="1">
      <c r="A30" s="26">
        <v>46038.0</v>
      </c>
      <c r="B30" s="27"/>
      <c r="C30" s="27"/>
      <c r="D30" s="19"/>
      <c r="E30" s="27"/>
      <c r="F30" s="27"/>
      <c r="G30" s="27"/>
      <c r="H30" s="27"/>
      <c r="I30" s="27"/>
      <c r="J30" s="19"/>
      <c r="K30" s="19"/>
      <c r="L30" s="19"/>
      <c r="M30" s="31"/>
      <c r="N30" s="30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9.5" customHeight="1">
      <c r="A31" s="26">
        <v>46039.0</v>
      </c>
      <c r="B31" s="27"/>
      <c r="C31" s="27"/>
      <c r="D31" s="19"/>
      <c r="E31" s="27"/>
      <c r="F31" s="27"/>
      <c r="G31" s="27"/>
      <c r="H31" s="19"/>
      <c r="I31" s="19"/>
      <c r="J31" s="19"/>
      <c r="K31" s="27"/>
      <c r="L31" s="27"/>
      <c r="M31" s="30"/>
      <c r="N31" s="30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9.5" customHeight="1">
      <c r="A32" s="26">
        <v>46040.0</v>
      </c>
      <c r="B32" s="19"/>
      <c r="C32" s="27"/>
      <c r="D32" s="13"/>
      <c r="E32" s="27"/>
      <c r="F32" s="27"/>
      <c r="G32" s="27"/>
      <c r="H32" s="19"/>
      <c r="I32" s="27"/>
      <c r="J32" s="19"/>
      <c r="K32" s="19"/>
      <c r="L32" s="27"/>
      <c r="M32" s="30"/>
      <c r="N32" s="30"/>
      <c r="O32" s="2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9.5" customHeight="1">
      <c r="A33" s="26">
        <v>46041.0</v>
      </c>
      <c r="B33" s="27"/>
      <c r="C33" s="27"/>
      <c r="D33" s="19"/>
      <c r="E33" s="27"/>
      <c r="F33" s="27"/>
      <c r="G33" s="19"/>
      <c r="H33" s="27"/>
      <c r="I33" s="27"/>
      <c r="J33" s="19"/>
      <c r="K33" s="19"/>
      <c r="L33" s="19"/>
      <c r="M33" s="30"/>
      <c r="N33" s="30"/>
      <c r="O33" s="2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9.5" customHeight="1">
      <c r="A34" s="26">
        <v>46042.0</v>
      </c>
      <c r="B34" s="27"/>
      <c r="C34" s="27"/>
      <c r="D34" s="19"/>
      <c r="E34" s="27"/>
      <c r="F34" s="27"/>
      <c r="G34" s="27"/>
      <c r="H34" s="27"/>
      <c r="I34" s="27"/>
      <c r="J34" s="19"/>
      <c r="K34" s="27"/>
      <c r="L34" s="27"/>
      <c r="M34" s="30"/>
      <c r="N34" s="30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9.5" customHeight="1">
      <c r="A35" s="26">
        <v>46043.0</v>
      </c>
      <c r="B35" s="27"/>
      <c r="C35" s="27"/>
      <c r="D35" s="19"/>
      <c r="E35" s="19"/>
      <c r="F35" s="27"/>
      <c r="G35" s="27"/>
      <c r="H35" s="19"/>
      <c r="I35" s="19"/>
      <c r="J35" s="19"/>
      <c r="K35" s="19"/>
      <c r="L35" s="27"/>
      <c r="M35" s="30"/>
      <c r="N35" s="30"/>
      <c r="O35" s="2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9.5" customHeight="1">
      <c r="A36" s="26">
        <v>46044.0</v>
      </c>
      <c r="B36" s="27"/>
      <c r="C36" s="27"/>
      <c r="D36" s="19"/>
      <c r="E36" s="27"/>
      <c r="F36" s="27"/>
      <c r="G36" s="27"/>
      <c r="H36" s="27"/>
      <c r="I36" s="27"/>
      <c r="J36" s="19"/>
      <c r="K36" s="19"/>
      <c r="L36" s="19"/>
      <c r="M36" s="30"/>
      <c r="N36" s="30"/>
      <c r="O36" s="2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9.5" customHeight="1">
      <c r="A37" s="26">
        <v>46045.0</v>
      </c>
      <c r="B37" s="27"/>
      <c r="C37" s="27"/>
      <c r="D37" s="19"/>
      <c r="E37" s="27"/>
      <c r="F37" s="27"/>
      <c r="G37" s="27"/>
      <c r="H37" s="19"/>
      <c r="I37" s="19"/>
      <c r="J37" s="19"/>
      <c r="K37" s="19"/>
      <c r="L37" s="19"/>
      <c r="M37" s="30"/>
      <c r="N37" s="30"/>
      <c r="O37" s="2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9.5" customHeight="1">
      <c r="A38" s="26">
        <v>46046.0</v>
      </c>
      <c r="B38" s="27"/>
      <c r="C38" s="27"/>
      <c r="D38" s="19"/>
      <c r="E38" s="27"/>
      <c r="F38" s="27"/>
      <c r="G38" s="27"/>
      <c r="H38" s="27"/>
      <c r="I38" s="27"/>
      <c r="J38" s="19"/>
      <c r="K38" s="19"/>
      <c r="L38" s="27"/>
      <c r="M38" s="30"/>
      <c r="N38" s="30"/>
      <c r="O38" s="2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9.5" customHeight="1">
      <c r="A39" s="26">
        <v>46047.0</v>
      </c>
      <c r="B39" s="27"/>
      <c r="C39" s="27"/>
      <c r="D39" s="19"/>
      <c r="E39" s="27"/>
      <c r="F39" s="27"/>
      <c r="G39" s="27"/>
      <c r="H39" s="19"/>
      <c r="I39" s="19"/>
      <c r="J39" s="19"/>
      <c r="K39" s="19"/>
      <c r="L39" s="19"/>
      <c r="M39" s="30"/>
      <c r="N39" s="30"/>
      <c r="O39" s="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9.5" customHeight="1">
      <c r="A40" s="26">
        <v>46048.0</v>
      </c>
      <c r="B40" s="27"/>
      <c r="C40" s="27"/>
      <c r="D40" s="19"/>
      <c r="E40" s="27"/>
      <c r="F40" s="27"/>
      <c r="G40" s="27"/>
      <c r="H40" s="27"/>
      <c r="I40" s="27"/>
      <c r="J40" s="19"/>
      <c r="K40" s="19"/>
      <c r="L40" s="19"/>
      <c r="M40" s="30"/>
      <c r="N40" s="30"/>
      <c r="O40" s="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9.5" customHeight="1">
      <c r="A41" s="26">
        <v>46049.0</v>
      </c>
      <c r="B41" s="27"/>
      <c r="C41" s="27"/>
      <c r="D41" s="19"/>
      <c r="E41" s="19"/>
      <c r="F41" s="27"/>
      <c r="G41" s="27"/>
      <c r="H41" s="27"/>
      <c r="I41" s="19"/>
      <c r="J41" s="19"/>
      <c r="K41" s="19"/>
      <c r="L41" s="27"/>
      <c r="M41" s="30"/>
      <c r="N41" s="30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9.5" customHeight="1">
      <c r="A42" s="26">
        <v>46050.0</v>
      </c>
      <c r="B42" s="27"/>
      <c r="C42" s="27"/>
      <c r="D42" s="19"/>
      <c r="E42" s="27"/>
      <c r="F42" s="27"/>
      <c r="G42" s="27"/>
      <c r="H42" s="27"/>
      <c r="I42" s="27"/>
      <c r="J42" s="27"/>
      <c r="K42" s="19"/>
      <c r="L42" s="27"/>
      <c r="M42" s="30"/>
      <c r="N42" s="30"/>
      <c r="O42" s="2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9.5" customHeight="1">
      <c r="A43" s="26">
        <v>46051.0</v>
      </c>
      <c r="B43" s="27"/>
      <c r="C43" s="27"/>
      <c r="D43" s="19"/>
      <c r="E43" s="27"/>
      <c r="F43" s="27"/>
      <c r="G43" s="27"/>
      <c r="H43" s="27"/>
      <c r="I43" s="27"/>
      <c r="J43" s="19"/>
      <c r="K43" s="19"/>
      <c r="L43" s="27"/>
      <c r="M43" s="30"/>
      <c r="N43" s="30"/>
      <c r="O43" s="2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9.5" customHeight="1">
      <c r="A44" s="26">
        <v>46052.0</v>
      </c>
      <c r="B44" s="27"/>
      <c r="C44" s="27"/>
      <c r="D44" s="19"/>
      <c r="E44" s="27"/>
      <c r="F44" s="27"/>
      <c r="G44" s="27"/>
      <c r="H44" s="27"/>
      <c r="I44" s="27"/>
      <c r="J44" s="19"/>
      <c r="K44" s="19"/>
      <c r="L44" s="19"/>
      <c r="M44" s="30"/>
      <c r="N44" s="30"/>
      <c r="O44" s="2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9.5" customHeight="1">
      <c r="A45" s="26">
        <v>46053.0</v>
      </c>
      <c r="B45" s="27"/>
      <c r="C45" s="27"/>
      <c r="D45" s="19"/>
      <c r="E45" s="27"/>
      <c r="F45" s="27"/>
      <c r="G45" s="19"/>
      <c r="H45" s="27"/>
      <c r="I45" s="19"/>
      <c r="J45" s="27"/>
      <c r="K45" s="19"/>
      <c r="L45" s="27"/>
      <c r="M45" s="30"/>
      <c r="N45" s="30"/>
      <c r="O45" s="2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9.5" customHeight="1">
      <c r="A46" s="26">
        <v>46054.0</v>
      </c>
      <c r="B46" s="27"/>
      <c r="C46" s="27"/>
      <c r="D46" s="19"/>
      <c r="E46" s="19"/>
      <c r="F46" s="27"/>
      <c r="G46" s="27"/>
      <c r="H46" s="27"/>
      <c r="I46" s="19"/>
      <c r="J46" s="19"/>
      <c r="K46" s="19"/>
      <c r="L46" s="27"/>
      <c r="M46" s="30"/>
      <c r="N46" s="3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9.5" customHeight="1">
      <c r="A47" s="26">
        <v>46055.0</v>
      </c>
      <c r="B47" s="27"/>
      <c r="C47" s="27"/>
      <c r="D47" s="19"/>
      <c r="E47" s="27"/>
      <c r="F47" s="27"/>
      <c r="G47" s="27"/>
      <c r="H47" s="27"/>
      <c r="I47" s="19"/>
      <c r="J47" s="27"/>
      <c r="K47" s="27"/>
      <c r="L47" s="27"/>
      <c r="M47" s="30"/>
      <c r="N47" s="3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9.5" customHeight="1">
      <c r="A48" s="26">
        <v>46056.0</v>
      </c>
      <c r="B48" s="27"/>
      <c r="C48" s="27"/>
      <c r="D48" s="19"/>
      <c r="E48" s="27"/>
      <c r="F48" s="27"/>
      <c r="G48" s="27"/>
      <c r="H48" s="27"/>
      <c r="I48" s="27"/>
      <c r="J48" s="27"/>
      <c r="K48" s="27"/>
      <c r="L48" s="27"/>
      <c r="M48" s="30"/>
      <c r="N48" s="30"/>
      <c r="O48" s="2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9.5" customHeight="1">
      <c r="A49" s="26">
        <v>46057.0</v>
      </c>
      <c r="B49" s="27"/>
      <c r="C49" s="27"/>
      <c r="D49" s="19"/>
      <c r="E49" s="27"/>
      <c r="F49" s="27"/>
      <c r="G49" s="27"/>
      <c r="H49" s="27"/>
      <c r="I49" s="27"/>
      <c r="J49" s="19"/>
      <c r="K49" s="19"/>
      <c r="L49" s="27"/>
      <c r="M49" s="30"/>
      <c r="N49" s="30"/>
      <c r="O49" s="2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9.5" customHeight="1">
      <c r="A50" s="26">
        <v>46058.0</v>
      </c>
      <c r="B50" s="27"/>
      <c r="C50" s="27"/>
      <c r="D50" s="19"/>
      <c r="E50" s="27"/>
      <c r="F50" s="27"/>
      <c r="G50" s="27"/>
      <c r="H50" s="27"/>
      <c r="I50" s="27"/>
      <c r="J50" s="19"/>
      <c r="K50" s="19"/>
      <c r="L50" s="27"/>
      <c r="M50" s="30"/>
      <c r="N50" s="30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9.5" customHeight="1">
      <c r="A51" s="26">
        <v>46059.0</v>
      </c>
      <c r="B51" s="27"/>
      <c r="C51" s="27"/>
      <c r="D51" s="19"/>
      <c r="E51" s="27"/>
      <c r="F51" s="27"/>
      <c r="G51" s="27"/>
      <c r="H51" s="27"/>
      <c r="I51" s="27"/>
      <c r="J51" s="19"/>
      <c r="K51" s="19"/>
      <c r="M51" s="30"/>
      <c r="N51" s="30"/>
      <c r="O51" s="2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9.5" customHeight="1">
      <c r="A52" s="26">
        <v>46060.0</v>
      </c>
      <c r="B52" s="27"/>
      <c r="C52" s="27"/>
      <c r="D52" s="19"/>
      <c r="E52" s="27"/>
      <c r="F52" s="27"/>
      <c r="G52" s="27"/>
      <c r="H52" s="27"/>
      <c r="I52" s="19"/>
      <c r="J52" s="27"/>
      <c r="K52" s="19"/>
      <c r="L52" s="27"/>
      <c r="M52" s="30"/>
      <c r="N52" s="30"/>
      <c r="O52" s="3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9.5" customHeight="1">
      <c r="A53" s="26">
        <v>46061.0</v>
      </c>
      <c r="B53" s="27"/>
      <c r="C53" s="27"/>
      <c r="D53" s="19"/>
      <c r="E53" s="27"/>
      <c r="F53" s="27"/>
      <c r="G53" s="27"/>
      <c r="H53" s="27"/>
      <c r="I53" s="27"/>
      <c r="J53" s="19"/>
      <c r="K53" s="19"/>
      <c r="L53" s="19"/>
      <c r="M53" s="30"/>
      <c r="N53" s="30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9.5" customHeight="1">
      <c r="A54" s="26">
        <v>46062.0</v>
      </c>
      <c r="B54" s="27"/>
      <c r="C54" s="27"/>
      <c r="D54" s="19"/>
      <c r="E54" s="27"/>
      <c r="F54" s="27"/>
      <c r="G54" s="27"/>
      <c r="H54" s="27"/>
      <c r="I54" s="27"/>
      <c r="J54" s="19"/>
      <c r="K54" s="19"/>
      <c r="L54" s="19"/>
      <c r="M54" s="30"/>
      <c r="N54" s="3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9.5" customHeight="1">
      <c r="A55" s="26">
        <v>46063.0</v>
      </c>
      <c r="B55" s="27"/>
      <c r="C55" s="27"/>
      <c r="D55" s="19"/>
      <c r="E55" s="19"/>
      <c r="F55" s="27"/>
      <c r="G55" s="27"/>
      <c r="H55" s="27"/>
      <c r="I55" s="27"/>
      <c r="J55" s="19"/>
      <c r="K55" s="19"/>
      <c r="L55" s="27"/>
      <c r="M55" s="30"/>
      <c r="N55" s="30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9.5" customHeight="1">
      <c r="A56" s="26">
        <v>46064.0</v>
      </c>
      <c r="B56" s="19"/>
      <c r="C56" s="27"/>
      <c r="D56" s="19"/>
      <c r="E56" s="19"/>
      <c r="F56" s="27"/>
      <c r="G56" s="19"/>
      <c r="I56" s="27"/>
      <c r="J56" s="19"/>
      <c r="K56" s="19"/>
      <c r="L56" s="27"/>
      <c r="M56" s="30"/>
      <c r="N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9.5" customHeight="1">
      <c r="A57" s="26">
        <v>46065.0</v>
      </c>
      <c r="B57" s="27"/>
      <c r="C57" s="27"/>
      <c r="D57" s="19"/>
      <c r="E57" s="27"/>
      <c r="F57" s="19"/>
      <c r="G57" s="19"/>
      <c r="H57" s="27"/>
      <c r="I57" s="27"/>
      <c r="J57" s="27"/>
      <c r="K57" s="19"/>
      <c r="L57" s="19"/>
      <c r="M57" s="30"/>
      <c r="N57" s="30"/>
      <c r="O57" s="3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9.5" customHeight="1">
      <c r="A58" s="26">
        <v>46066.0</v>
      </c>
      <c r="B58" s="27"/>
      <c r="C58" s="27"/>
      <c r="D58" s="19"/>
      <c r="E58" s="27"/>
      <c r="F58" s="27"/>
      <c r="G58" s="27"/>
      <c r="H58" s="27"/>
      <c r="I58" s="19"/>
      <c r="J58" s="27"/>
      <c r="K58" s="19"/>
      <c r="L58" s="27"/>
      <c r="M58" s="30"/>
      <c r="N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9.5" customHeight="1">
      <c r="A59" s="26">
        <v>46067.0</v>
      </c>
      <c r="B59" s="27"/>
      <c r="C59" s="27"/>
      <c r="D59" s="19"/>
      <c r="E59" s="27"/>
      <c r="F59" s="27"/>
      <c r="G59" s="27"/>
      <c r="H59" s="27"/>
      <c r="I59" s="27"/>
      <c r="J59" s="19"/>
      <c r="K59" s="27"/>
      <c r="L59" s="27"/>
      <c r="M59" s="30"/>
      <c r="N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9.5" customHeight="1">
      <c r="A60" s="26">
        <v>46068.0</v>
      </c>
      <c r="B60" s="27"/>
      <c r="C60" s="27"/>
      <c r="D60" s="19"/>
      <c r="E60" s="27"/>
      <c r="F60" s="27"/>
      <c r="G60" s="27"/>
      <c r="H60" s="27"/>
      <c r="I60" s="27"/>
      <c r="J60" s="19"/>
      <c r="K60" s="19"/>
      <c r="L60" s="27"/>
      <c r="M60" s="30"/>
      <c r="N60" s="30"/>
      <c r="O60" s="2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9.5" customHeight="1">
      <c r="A61" s="26">
        <v>46069.0</v>
      </c>
      <c r="B61" s="27"/>
      <c r="C61" s="27"/>
      <c r="D61" s="19"/>
      <c r="E61" s="33"/>
      <c r="F61" s="19"/>
      <c r="G61" s="27"/>
      <c r="H61" s="27"/>
      <c r="I61" s="27"/>
      <c r="J61" s="19"/>
      <c r="K61" s="19"/>
      <c r="L61" s="27"/>
      <c r="M61" s="30"/>
      <c r="N61" s="30"/>
      <c r="O61" s="2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9.5" customHeight="1">
      <c r="A62" s="26">
        <v>46070.0</v>
      </c>
      <c r="B62" s="27"/>
      <c r="C62" s="27"/>
      <c r="D62" s="19"/>
      <c r="E62" s="27"/>
      <c r="F62" s="27"/>
      <c r="G62" s="27"/>
      <c r="H62" s="27"/>
      <c r="I62" s="27"/>
      <c r="J62" s="19"/>
      <c r="K62" s="19"/>
      <c r="L62" s="19"/>
      <c r="M62" s="30"/>
      <c r="N62" s="30"/>
      <c r="O62" s="2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9.5" customHeight="1">
      <c r="A63" s="26">
        <v>46071.0</v>
      </c>
      <c r="B63" s="27"/>
      <c r="C63" s="27"/>
      <c r="D63" s="19"/>
      <c r="E63" s="27"/>
      <c r="F63" s="27"/>
      <c r="G63" s="19"/>
      <c r="H63" s="27"/>
      <c r="I63" s="27"/>
      <c r="J63" s="19"/>
      <c r="K63" s="19"/>
      <c r="L63" s="27"/>
      <c r="M63" s="30"/>
      <c r="N63" s="30"/>
      <c r="O63" s="2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9.5" customHeight="1">
      <c r="A64" s="26">
        <v>46072.0</v>
      </c>
      <c r="B64" s="27"/>
      <c r="C64" s="27"/>
      <c r="D64" s="19"/>
      <c r="E64" s="19"/>
      <c r="F64" s="27"/>
      <c r="G64" s="27"/>
      <c r="H64" s="27"/>
      <c r="I64" s="27"/>
      <c r="J64" s="19"/>
      <c r="K64" s="19"/>
      <c r="L64" s="19"/>
      <c r="M64" s="30"/>
      <c r="N64" s="30"/>
      <c r="O64" s="2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9.5" customHeight="1">
      <c r="A65" s="26">
        <v>46073.0</v>
      </c>
      <c r="B65" s="27"/>
      <c r="C65" s="27"/>
      <c r="D65" s="19"/>
      <c r="E65" s="19"/>
      <c r="F65" s="27"/>
      <c r="G65" s="27"/>
      <c r="H65" s="19"/>
      <c r="I65" s="19"/>
      <c r="J65" s="19"/>
      <c r="K65" s="19"/>
      <c r="L65" s="19"/>
      <c r="M65" s="30"/>
      <c r="N65" s="30"/>
      <c r="O65" s="2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9.5" customHeight="1">
      <c r="A66" s="26">
        <v>46074.0</v>
      </c>
      <c r="B66" s="27"/>
      <c r="C66" s="27"/>
      <c r="D66" s="19"/>
      <c r="E66" s="19"/>
      <c r="F66" s="27"/>
      <c r="G66" s="27"/>
      <c r="H66" s="27"/>
      <c r="I66" s="27"/>
      <c r="J66" s="19"/>
      <c r="K66" s="19"/>
      <c r="L66" s="27"/>
      <c r="M66" s="30"/>
      <c r="N66" s="30"/>
      <c r="O66" s="2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9.5" customHeight="1">
      <c r="A67" s="26">
        <v>46075.0</v>
      </c>
      <c r="B67" s="27"/>
      <c r="C67" s="27"/>
      <c r="D67" s="19"/>
      <c r="E67" s="27"/>
      <c r="F67" s="27"/>
      <c r="H67" s="27"/>
      <c r="I67" s="19"/>
      <c r="J67" s="19"/>
      <c r="K67" s="19"/>
      <c r="L67" s="19"/>
      <c r="M67" s="30"/>
      <c r="N67" s="30"/>
      <c r="O67" s="2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9.5" customHeight="1">
      <c r="A68" s="26">
        <v>46076.0</v>
      </c>
      <c r="B68" s="27"/>
      <c r="C68" s="27"/>
      <c r="D68" s="19"/>
      <c r="E68" s="27"/>
      <c r="F68" s="27"/>
      <c r="G68" s="27"/>
      <c r="I68" s="27"/>
      <c r="J68" s="19"/>
      <c r="K68" s="19"/>
      <c r="L68" s="27"/>
      <c r="M68" s="30"/>
      <c r="N68" s="30"/>
      <c r="O68" s="2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9.5" customHeight="1">
      <c r="A69" s="26">
        <v>46077.0</v>
      </c>
      <c r="B69" s="27"/>
      <c r="C69" s="27"/>
      <c r="D69" s="19"/>
      <c r="E69" s="27"/>
      <c r="F69" s="27"/>
      <c r="G69" s="27"/>
      <c r="H69" s="19"/>
      <c r="I69" s="27"/>
      <c r="J69" s="19"/>
      <c r="K69" s="19"/>
      <c r="L69" s="27"/>
      <c r="M69" s="30"/>
      <c r="N69" s="30"/>
      <c r="O69" s="2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9.5" customHeight="1">
      <c r="A70" s="26">
        <v>46078.0</v>
      </c>
      <c r="B70" s="27"/>
      <c r="C70" s="27"/>
      <c r="D70" s="19"/>
      <c r="E70" s="27"/>
      <c r="F70" s="27"/>
      <c r="G70" s="27"/>
      <c r="H70" s="27"/>
      <c r="I70" s="27"/>
      <c r="J70" s="19"/>
      <c r="K70" s="27"/>
      <c r="L70" s="27"/>
      <c r="M70" s="30"/>
      <c r="N70" s="30"/>
      <c r="O70" s="2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9.5" customHeight="1">
      <c r="A71" s="26">
        <v>46079.0</v>
      </c>
      <c r="B71" s="27"/>
      <c r="C71" s="27"/>
      <c r="D71" s="19"/>
      <c r="E71" s="27"/>
      <c r="F71" s="27"/>
      <c r="G71" s="27"/>
      <c r="H71" s="27"/>
      <c r="I71" s="27"/>
      <c r="J71" s="19"/>
      <c r="K71" s="19"/>
      <c r="L71" s="19"/>
      <c r="M71" s="30"/>
      <c r="N71" s="30"/>
      <c r="O71" s="2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9.5" customHeight="1">
      <c r="A72" s="26">
        <v>46080.0</v>
      </c>
      <c r="B72" s="27"/>
      <c r="C72" s="27"/>
      <c r="D72" s="19"/>
      <c r="E72" s="19"/>
      <c r="F72" s="27"/>
      <c r="G72" s="27"/>
      <c r="H72" s="27"/>
      <c r="I72" s="27"/>
      <c r="J72" s="27"/>
      <c r="K72" s="19"/>
      <c r="L72" s="19"/>
      <c r="M72" s="30"/>
      <c r="N72" s="30"/>
      <c r="O72" s="2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9.5" customHeight="1">
      <c r="A73" s="26">
        <v>46081.0</v>
      </c>
      <c r="B73" s="27"/>
      <c r="C73" s="27"/>
      <c r="D73" s="19"/>
      <c r="E73" s="27"/>
      <c r="F73" s="19"/>
      <c r="G73" s="27"/>
      <c r="H73" s="27"/>
      <c r="I73" s="27"/>
      <c r="J73" s="27"/>
      <c r="K73" s="19"/>
      <c r="L73" s="27"/>
      <c r="M73" s="30"/>
      <c r="N73" s="30"/>
      <c r="O73" s="2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9.5" customHeight="1">
      <c r="A74" s="26">
        <v>46082.0</v>
      </c>
      <c r="B74" s="19"/>
      <c r="C74" s="27"/>
      <c r="D74" s="19"/>
      <c r="E74" s="27"/>
      <c r="F74" s="27"/>
      <c r="G74" s="27"/>
      <c r="H74" s="19"/>
      <c r="I74" s="19"/>
      <c r="J74" s="19"/>
      <c r="K74" s="19"/>
      <c r="L74" s="27"/>
      <c r="M74" s="30"/>
      <c r="N74" s="3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9.5" customHeight="1">
      <c r="A75" s="26">
        <v>46083.0</v>
      </c>
      <c r="B75" s="19"/>
      <c r="C75" s="27"/>
      <c r="D75" s="19"/>
      <c r="E75" s="19"/>
      <c r="F75" s="27"/>
      <c r="G75" s="27"/>
      <c r="H75" s="27"/>
      <c r="I75" s="27"/>
      <c r="J75" s="19"/>
      <c r="K75" s="27"/>
      <c r="L75" s="19"/>
      <c r="M75" s="30"/>
      <c r="N75" s="3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9.5" customHeight="1">
      <c r="A76" s="26">
        <v>46084.0</v>
      </c>
      <c r="B76" s="19"/>
      <c r="C76" s="27"/>
      <c r="D76" s="19"/>
      <c r="E76" s="27"/>
      <c r="F76" s="27"/>
      <c r="G76" s="27"/>
      <c r="I76" s="27"/>
      <c r="J76" s="27"/>
      <c r="K76" s="19"/>
      <c r="L76" s="27"/>
      <c r="M76" s="30"/>
      <c r="N76" s="3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9.5" customHeight="1">
      <c r="A77" s="26">
        <v>46085.0</v>
      </c>
      <c r="B77" s="19"/>
      <c r="C77" s="27"/>
      <c r="D77" s="19"/>
      <c r="E77" s="19"/>
      <c r="G77" s="27"/>
      <c r="H77" s="29"/>
      <c r="I77" s="27"/>
      <c r="J77" s="19"/>
      <c r="K77" s="27"/>
      <c r="L77" s="27"/>
      <c r="M77" s="30"/>
      <c r="N77" s="3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9.5" customHeight="1">
      <c r="A78" s="26">
        <v>46086.0</v>
      </c>
      <c r="B78" s="19"/>
      <c r="C78" s="27"/>
      <c r="D78" s="19"/>
      <c r="E78" s="19"/>
      <c r="F78" s="27"/>
      <c r="G78" s="27"/>
      <c r="H78" s="19"/>
      <c r="I78" s="19"/>
      <c r="J78" s="19"/>
      <c r="K78" s="27"/>
      <c r="L78" s="19"/>
      <c r="M78" s="30"/>
      <c r="N78" s="3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9.5" customHeight="1">
      <c r="A79" s="26">
        <v>46087.0</v>
      </c>
      <c r="B79" s="19"/>
      <c r="C79" s="27"/>
      <c r="D79" s="19"/>
      <c r="E79" s="27"/>
      <c r="F79" s="27"/>
      <c r="G79" s="27"/>
      <c r="H79" s="27"/>
      <c r="I79" s="27"/>
      <c r="J79" s="19"/>
      <c r="K79" s="27"/>
      <c r="L79" s="27"/>
      <c r="M79" s="30"/>
      <c r="N79" s="3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9.5" customHeight="1">
      <c r="A80" s="26">
        <v>46088.0</v>
      </c>
      <c r="B80" s="19"/>
      <c r="C80" s="27"/>
      <c r="D80" s="19"/>
      <c r="E80" s="27"/>
      <c r="F80" s="27"/>
      <c r="G80" s="27"/>
      <c r="H80" s="27"/>
      <c r="I80" s="27"/>
      <c r="J80" s="19"/>
      <c r="K80" s="19"/>
      <c r="L80" s="27"/>
      <c r="M80" s="30"/>
      <c r="N80" s="3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9.5" customHeight="1">
      <c r="A81" s="26">
        <v>46089.0</v>
      </c>
      <c r="B81" s="19"/>
      <c r="C81" s="27"/>
      <c r="D81" s="19"/>
      <c r="E81" s="27"/>
      <c r="F81" s="27"/>
      <c r="G81" s="27"/>
      <c r="H81" s="27"/>
      <c r="I81" s="27"/>
      <c r="J81" s="27"/>
      <c r="K81" s="19"/>
      <c r="L81" s="27"/>
      <c r="M81" s="30"/>
      <c r="N81" s="3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9.5" customHeight="1">
      <c r="A82" s="26">
        <v>46090.0</v>
      </c>
      <c r="B82" s="19"/>
      <c r="C82" s="27"/>
      <c r="D82" s="19"/>
      <c r="E82" s="19"/>
      <c r="F82" s="27"/>
      <c r="G82" s="27"/>
      <c r="H82" s="27"/>
      <c r="I82" s="27"/>
      <c r="J82" s="19"/>
      <c r="K82" s="19"/>
      <c r="L82" s="19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9.5" customHeight="1">
      <c r="A83" s="26">
        <v>46091.0</v>
      </c>
      <c r="B83" s="19"/>
      <c r="C83" s="27"/>
      <c r="D83" s="19"/>
      <c r="E83" s="27"/>
      <c r="F83" s="27"/>
      <c r="G83" s="27"/>
      <c r="H83" s="27"/>
      <c r="I83" s="19"/>
      <c r="J83" s="19"/>
      <c r="K83" s="19"/>
      <c r="L83" s="27"/>
      <c r="M83" s="30"/>
      <c r="N83" s="3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9.5" customHeight="1">
      <c r="A84" s="26">
        <v>46092.0</v>
      </c>
      <c r="B84" s="19"/>
      <c r="C84" s="27"/>
      <c r="D84" s="19"/>
      <c r="E84" s="27"/>
      <c r="F84" s="27"/>
      <c r="G84" s="27"/>
      <c r="H84" s="27"/>
      <c r="I84" s="27"/>
      <c r="J84" s="19"/>
      <c r="K84" s="19"/>
      <c r="L84" s="27"/>
      <c r="M84" s="30"/>
      <c r="N84" s="3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9.5" customHeight="1">
      <c r="A85" s="26">
        <v>46093.0</v>
      </c>
      <c r="B85" s="19"/>
      <c r="C85" s="27"/>
      <c r="D85" s="19"/>
      <c r="E85" s="27"/>
      <c r="F85" s="27"/>
      <c r="G85" s="19"/>
      <c r="H85" s="19"/>
      <c r="I85" s="27"/>
      <c r="J85" s="19"/>
      <c r="K85" s="19"/>
      <c r="L85" s="19"/>
      <c r="M85" s="30"/>
      <c r="N85" s="3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9.5" customHeight="1">
      <c r="A86" s="26">
        <v>46094.0</v>
      </c>
      <c r="B86" s="19"/>
      <c r="C86" s="27"/>
      <c r="D86" s="19"/>
      <c r="E86" s="27"/>
      <c r="F86" s="27"/>
      <c r="G86" s="27"/>
      <c r="H86" s="27"/>
      <c r="I86" s="27"/>
      <c r="J86" s="19"/>
      <c r="K86" s="27"/>
      <c r="L86" s="27"/>
      <c r="M86" s="30"/>
      <c r="N86" s="3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9.5" customHeight="1">
      <c r="A87" s="26">
        <v>46095.0</v>
      </c>
      <c r="B87" s="19"/>
      <c r="C87" s="27"/>
      <c r="D87" s="19"/>
      <c r="E87" s="27"/>
      <c r="F87" s="27"/>
      <c r="G87" s="27"/>
      <c r="H87" s="27"/>
      <c r="I87" s="27"/>
      <c r="J87" s="19"/>
      <c r="K87" s="19"/>
      <c r="L87" s="27"/>
      <c r="M87" s="30"/>
      <c r="N87" s="3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9.5" customHeight="1">
      <c r="A88" s="26">
        <v>46096.0</v>
      </c>
      <c r="B88" s="19"/>
      <c r="C88" s="27"/>
      <c r="D88" s="19"/>
      <c r="E88" s="27"/>
      <c r="G88" s="27"/>
      <c r="H88" s="19"/>
      <c r="I88" s="27"/>
      <c r="J88" s="19"/>
      <c r="K88" s="19"/>
      <c r="L88" s="27"/>
      <c r="M88" s="30"/>
      <c r="N88" s="3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9.5" customHeight="1">
      <c r="A89" s="26">
        <v>46097.0</v>
      </c>
      <c r="B89" s="19"/>
      <c r="C89" s="27"/>
      <c r="D89" s="19"/>
      <c r="E89" s="27"/>
      <c r="F89" s="27"/>
      <c r="G89" s="27"/>
      <c r="H89" s="27"/>
      <c r="I89" s="27"/>
      <c r="J89" s="19"/>
      <c r="K89" s="19"/>
      <c r="L89" s="27"/>
      <c r="M89" s="30"/>
      <c r="N89" s="3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9.5" customHeight="1">
      <c r="A90" s="26">
        <v>46098.0</v>
      </c>
      <c r="B90" s="19"/>
      <c r="C90" s="27"/>
      <c r="D90" s="19"/>
      <c r="E90" s="19"/>
      <c r="F90" s="27"/>
      <c r="G90" s="27"/>
      <c r="H90" s="27"/>
      <c r="I90" s="27"/>
      <c r="J90" s="19"/>
      <c r="K90" s="19"/>
      <c r="L90" s="27"/>
      <c r="M90" s="30"/>
      <c r="N90" s="30"/>
      <c r="O90" s="2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9.5" customHeight="1">
      <c r="A91" s="26">
        <v>46099.0</v>
      </c>
      <c r="B91" s="19"/>
      <c r="C91" s="27"/>
      <c r="D91" s="19"/>
      <c r="E91" s="27"/>
      <c r="F91" s="27"/>
      <c r="G91" s="27"/>
      <c r="H91" s="19"/>
      <c r="I91" s="19"/>
      <c r="J91" s="19"/>
      <c r="K91" s="27"/>
      <c r="L91" s="27"/>
      <c r="M91" s="30"/>
      <c r="N91" s="3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9.5" customHeight="1">
      <c r="A92" s="26">
        <v>46100.0</v>
      </c>
      <c r="B92" s="19"/>
      <c r="C92" s="27"/>
      <c r="D92" s="19"/>
      <c r="E92" s="19"/>
      <c r="F92" s="27"/>
      <c r="G92" s="27"/>
      <c r="H92" s="19"/>
      <c r="I92" s="27"/>
      <c r="J92" s="19"/>
      <c r="K92" s="27"/>
      <c r="L92" s="27"/>
      <c r="M92" s="30"/>
      <c r="N92" s="3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9.5" customHeight="1">
      <c r="A93" s="26">
        <v>46101.0</v>
      </c>
      <c r="B93" s="19"/>
      <c r="C93" s="27"/>
      <c r="D93" s="19"/>
      <c r="E93" s="27"/>
      <c r="F93" s="27"/>
      <c r="G93" s="27"/>
      <c r="H93" s="27"/>
      <c r="I93" s="27"/>
      <c r="J93" s="19"/>
      <c r="K93" s="27"/>
      <c r="L93" s="19"/>
      <c r="M93" s="30"/>
      <c r="N93" s="3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9.5" customHeight="1">
      <c r="A94" s="26">
        <v>46102.0</v>
      </c>
      <c r="B94" s="19"/>
      <c r="C94" s="27"/>
      <c r="D94" s="19"/>
      <c r="E94" s="27"/>
      <c r="F94" s="27"/>
      <c r="G94" s="27"/>
      <c r="H94" s="19"/>
      <c r="I94" s="27"/>
      <c r="J94" s="19"/>
      <c r="K94" s="27"/>
      <c r="L94" s="27"/>
      <c r="M94" s="30"/>
      <c r="N94" s="3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9.5" customHeight="1">
      <c r="A95" s="26">
        <v>46103.0</v>
      </c>
      <c r="B95" s="19"/>
      <c r="C95" s="27"/>
      <c r="D95" s="19"/>
      <c r="E95" s="27"/>
      <c r="F95" s="27"/>
      <c r="G95" s="27"/>
      <c r="H95" s="27"/>
      <c r="I95" s="19"/>
      <c r="J95" s="19"/>
      <c r="K95" s="19"/>
      <c r="L95" s="19"/>
      <c r="M95" s="30"/>
      <c r="N95" s="3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9.5" customHeight="1">
      <c r="A96" s="26">
        <v>46104.0</v>
      </c>
      <c r="B96" s="19"/>
      <c r="C96" s="27"/>
      <c r="D96" s="19"/>
      <c r="E96" s="27"/>
      <c r="F96" s="27"/>
      <c r="G96" s="27"/>
      <c r="H96" s="19"/>
      <c r="I96" s="27"/>
      <c r="J96" s="19"/>
      <c r="K96" s="27"/>
      <c r="L96" s="19"/>
      <c r="M96" s="30"/>
      <c r="N96" s="3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9.5" customHeight="1">
      <c r="A97" s="26">
        <v>46105.0</v>
      </c>
      <c r="B97" s="19"/>
      <c r="C97" s="27"/>
      <c r="D97" s="19"/>
      <c r="E97" s="19"/>
      <c r="F97" s="27"/>
      <c r="G97" s="27"/>
      <c r="H97" s="19"/>
      <c r="I97" s="27"/>
      <c r="J97" s="19"/>
      <c r="K97" s="19"/>
      <c r="L97" s="27"/>
      <c r="M97" s="30"/>
      <c r="N97" s="3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9.5" customHeight="1">
      <c r="A98" s="26">
        <v>46106.0</v>
      </c>
      <c r="B98" s="19"/>
      <c r="C98" s="27"/>
      <c r="D98" s="19"/>
      <c r="E98" s="19"/>
      <c r="G98" s="27"/>
      <c r="H98" s="27"/>
      <c r="I98" s="27"/>
      <c r="J98" s="27"/>
      <c r="K98" s="19"/>
      <c r="L98" s="27"/>
      <c r="M98" s="30"/>
      <c r="N98" s="3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9.5" customHeight="1">
      <c r="A99" s="26">
        <v>46107.0</v>
      </c>
      <c r="B99" s="19"/>
      <c r="C99" s="27"/>
      <c r="D99" s="19"/>
      <c r="E99" s="27"/>
      <c r="F99" s="27"/>
      <c r="G99" s="27"/>
      <c r="H99" s="19"/>
      <c r="I99" s="27"/>
      <c r="J99" s="27"/>
      <c r="K99" s="19"/>
      <c r="L99" s="19"/>
      <c r="M99" s="30"/>
      <c r="N99" s="3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9.5" customHeight="1">
      <c r="A100" s="26">
        <v>46108.0</v>
      </c>
      <c r="B100" s="19"/>
      <c r="C100" s="27"/>
      <c r="D100" s="19"/>
      <c r="E100" s="27"/>
      <c r="F100" s="27"/>
      <c r="G100" s="27"/>
      <c r="H100" s="27"/>
      <c r="I100" s="27"/>
      <c r="J100" s="19"/>
      <c r="K100" s="19"/>
      <c r="L100" s="19"/>
      <c r="M100" s="30"/>
      <c r="N100" s="3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9.5" customHeight="1">
      <c r="A101" s="26">
        <v>46109.0</v>
      </c>
      <c r="B101" s="19"/>
      <c r="C101" s="27"/>
      <c r="D101" s="19"/>
      <c r="E101" s="19"/>
      <c r="F101" s="27"/>
      <c r="G101" s="27"/>
      <c r="H101" s="27"/>
      <c r="I101" s="27"/>
      <c r="J101" s="19"/>
      <c r="K101" s="19"/>
      <c r="L101" s="27"/>
      <c r="M101" s="30"/>
      <c r="N101" s="3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9.5" customHeight="1">
      <c r="A102" s="26">
        <v>46110.0</v>
      </c>
      <c r="B102" s="19"/>
      <c r="C102" s="27"/>
      <c r="D102" s="19"/>
      <c r="E102" s="19"/>
      <c r="F102" s="27"/>
      <c r="G102" s="27"/>
      <c r="H102" s="19"/>
      <c r="I102" s="27"/>
      <c r="J102" s="19"/>
      <c r="K102" s="19"/>
      <c r="L102" s="19"/>
      <c r="M102" s="30"/>
      <c r="N102" s="3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9.5" customHeight="1">
      <c r="A103" s="26">
        <v>46111.0</v>
      </c>
      <c r="B103" s="19"/>
      <c r="C103" s="27"/>
      <c r="D103" s="19"/>
      <c r="E103" s="19"/>
      <c r="F103" s="27"/>
      <c r="G103" s="27"/>
      <c r="H103" s="27"/>
      <c r="I103" s="27"/>
      <c r="J103" s="19"/>
      <c r="K103" s="19"/>
      <c r="L103" s="19"/>
      <c r="M103" s="30"/>
      <c r="N103" s="3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9.5" customHeight="1">
      <c r="A104" s="26">
        <v>46112.0</v>
      </c>
      <c r="B104" s="19"/>
      <c r="C104" s="27"/>
      <c r="D104" s="19"/>
      <c r="E104" s="27"/>
      <c r="F104" s="27"/>
      <c r="G104" s="27"/>
      <c r="H104" s="19"/>
      <c r="I104" s="27"/>
      <c r="J104" s="19"/>
      <c r="K104" s="19"/>
      <c r="L104" s="27"/>
      <c r="M104" s="30"/>
      <c r="N104" s="3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9.5" customHeight="1">
      <c r="A105" s="26">
        <v>46113.0</v>
      </c>
      <c r="B105" s="19"/>
      <c r="C105" s="27"/>
      <c r="D105" s="19"/>
      <c r="E105" s="27"/>
      <c r="F105" s="27"/>
      <c r="G105" s="27"/>
      <c r="H105" s="19"/>
      <c r="I105" s="27"/>
      <c r="J105" s="19"/>
      <c r="K105" s="19"/>
      <c r="L105" s="27"/>
      <c r="M105" s="30"/>
      <c r="N105" s="3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9.5" customHeight="1">
      <c r="A106" s="26">
        <v>46114.0</v>
      </c>
      <c r="B106" s="19"/>
      <c r="C106" s="27"/>
      <c r="D106" s="19"/>
      <c r="E106" s="19"/>
      <c r="F106" s="27"/>
      <c r="G106" s="19"/>
      <c r="H106" s="19"/>
      <c r="I106" s="27"/>
      <c r="J106" s="19"/>
      <c r="K106" s="19"/>
      <c r="L106" s="27"/>
      <c r="M106" s="30"/>
      <c r="N106" s="3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9.5" customHeight="1">
      <c r="A107" s="26">
        <v>46115.0</v>
      </c>
      <c r="B107" s="19"/>
      <c r="C107" s="27"/>
      <c r="D107" s="19"/>
      <c r="E107" s="27"/>
      <c r="F107" s="27"/>
      <c r="G107" s="27"/>
      <c r="H107" s="19"/>
      <c r="I107" s="27"/>
      <c r="J107" s="19"/>
      <c r="K107" s="27"/>
      <c r="L107" s="19"/>
      <c r="M107" s="30"/>
      <c r="N107" s="3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9.5" customHeight="1">
      <c r="A108" s="26">
        <v>46116.0</v>
      </c>
      <c r="B108" s="19"/>
      <c r="C108" s="27"/>
      <c r="D108" s="19"/>
      <c r="E108" s="19"/>
      <c r="F108" s="27"/>
      <c r="G108" s="27"/>
      <c r="H108" s="19"/>
      <c r="I108" s="19"/>
      <c r="J108" s="19"/>
      <c r="K108" s="19"/>
      <c r="L108" s="27"/>
      <c r="M108" s="30"/>
      <c r="N108" s="3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9.5" customHeight="1">
      <c r="A109" s="26">
        <v>46117.0</v>
      </c>
      <c r="B109" s="19"/>
      <c r="C109" s="27"/>
      <c r="D109" s="19"/>
      <c r="E109" s="19"/>
      <c r="F109" s="27"/>
      <c r="G109" s="27"/>
      <c r="H109" s="27"/>
      <c r="I109" s="27"/>
      <c r="J109" s="19"/>
      <c r="K109" s="27"/>
      <c r="L109" s="27"/>
      <c r="M109" s="30"/>
      <c r="N109" s="3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9.5" customHeight="1">
      <c r="A110" s="26">
        <v>46118.0</v>
      </c>
      <c r="B110" s="19"/>
      <c r="C110" s="27"/>
      <c r="D110" s="19"/>
      <c r="E110" s="19"/>
      <c r="F110" s="27"/>
      <c r="G110" s="27"/>
      <c r="H110" s="19"/>
      <c r="I110" s="27"/>
      <c r="J110" s="19"/>
      <c r="K110" s="19"/>
      <c r="L110" s="19"/>
      <c r="M110" s="30"/>
      <c r="N110" s="3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9.5" customHeight="1">
      <c r="A111" s="26">
        <v>46119.0</v>
      </c>
      <c r="B111" s="19"/>
      <c r="C111" s="27"/>
      <c r="D111" s="19"/>
      <c r="E111" s="27"/>
      <c r="F111" s="27"/>
      <c r="G111" s="27"/>
      <c r="H111" s="27"/>
      <c r="I111" s="27"/>
      <c r="J111" s="19"/>
      <c r="K111" s="19"/>
      <c r="L111" s="19"/>
      <c r="M111" s="30"/>
      <c r="N111" s="3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9.5" customHeight="1">
      <c r="A112" s="26">
        <v>46120.0</v>
      </c>
      <c r="B112" s="19"/>
      <c r="C112" s="27"/>
      <c r="D112" s="19"/>
      <c r="E112" s="19"/>
      <c r="F112" s="27"/>
      <c r="G112" s="27"/>
      <c r="H112" s="27"/>
      <c r="I112" s="19"/>
      <c r="J112" s="19"/>
      <c r="K112" s="19"/>
      <c r="L112" s="27"/>
      <c r="M112" s="30"/>
      <c r="N112" s="3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9.5" customHeight="1">
      <c r="A113" s="26">
        <v>46121.0</v>
      </c>
      <c r="B113" s="19"/>
      <c r="C113" s="27"/>
      <c r="D113" s="19"/>
      <c r="E113" s="27"/>
      <c r="F113" s="27"/>
      <c r="G113" s="27"/>
      <c r="H113" s="27"/>
      <c r="I113" s="27"/>
      <c r="J113" s="19"/>
      <c r="K113" s="19"/>
      <c r="L113" s="19"/>
      <c r="M113" s="30"/>
      <c r="N113" s="3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9.5" customHeight="1">
      <c r="A114" s="26">
        <v>46122.0</v>
      </c>
      <c r="B114" s="19"/>
      <c r="C114" s="27"/>
      <c r="D114" s="19"/>
      <c r="E114" s="27"/>
      <c r="F114" s="27"/>
      <c r="G114" s="27"/>
      <c r="H114" s="19"/>
      <c r="I114" s="29"/>
      <c r="J114" s="19"/>
      <c r="K114" s="19"/>
      <c r="L114" s="27"/>
      <c r="M114" s="30"/>
      <c r="N114" s="3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9.5" customHeight="1">
      <c r="A115" s="26">
        <v>46123.0</v>
      </c>
      <c r="B115" s="19"/>
      <c r="C115" s="27"/>
      <c r="D115" s="19"/>
      <c r="E115" s="27"/>
      <c r="F115" s="27"/>
      <c r="G115" s="27"/>
      <c r="H115" s="27"/>
      <c r="I115" s="27"/>
      <c r="J115" s="19"/>
      <c r="K115" s="19"/>
      <c r="L115" s="27"/>
      <c r="M115" s="30"/>
      <c r="N115" s="3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9.5" customHeight="1">
      <c r="A116" s="26">
        <v>46124.0</v>
      </c>
      <c r="B116" s="19"/>
      <c r="C116" s="27"/>
      <c r="D116" s="19"/>
      <c r="E116" s="27"/>
      <c r="F116" s="27"/>
      <c r="G116" s="27"/>
      <c r="H116" s="27"/>
      <c r="I116" s="27"/>
      <c r="J116" s="19"/>
      <c r="K116" s="19"/>
      <c r="L116" s="27"/>
      <c r="M116" s="30"/>
      <c r="N116" s="3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9.5" customHeight="1">
      <c r="A117" s="26">
        <v>46125.0</v>
      </c>
      <c r="B117" s="19"/>
      <c r="C117" s="27"/>
      <c r="D117" s="19"/>
      <c r="E117" s="27"/>
      <c r="F117" s="27"/>
      <c r="G117" s="27"/>
      <c r="H117" s="27"/>
      <c r="I117" s="27"/>
      <c r="J117" s="19"/>
      <c r="K117" s="27"/>
      <c r="L117" s="19"/>
      <c r="M117" s="30"/>
      <c r="N117" s="3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9.5" customHeight="1">
      <c r="A118" s="26">
        <v>46126.0</v>
      </c>
      <c r="B118" s="19"/>
      <c r="C118" s="27"/>
      <c r="D118" s="19"/>
      <c r="E118" s="27"/>
      <c r="F118" s="27"/>
      <c r="G118" s="27"/>
      <c r="H118" s="27"/>
      <c r="I118" s="27"/>
      <c r="J118" s="19"/>
      <c r="K118" s="27"/>
      <c r="L118" s="19"/>
      <c r="M118" s="30"/>
      <c r="N118" s="3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9.5" customHeight="1">
      <c r="A119" s="26">
        <v>46127.0</v>
      </c>
      <c r="B119" s="19"/>
      <c r="C119" s="27"/>
      <c r="D119" s="19"/>
      <c r="E119" s="27"/>
      <c r="F119" s="27"/>
      <c r="G119" s="27"/>
      <c r="H119" s="27"/>
      <c r="I119" s="19"/>
      <c r="J119" s="19"/>
      <c r="K119" s="27"/>
      <c r="L119" s="19"/>
      <c r="M119" s="30"/>
      <c r="N119" s="3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9.5" customHeight="1">
      <c r="A120" s="26">
        <v>46128.0</v>
      </c>
      <c r="B120" s="19"/>
      <c r="C120" s="27"/>
      <c r="D120" s="19"/>
      <c r="E120" s="27"/>
      <c r="F120" s="27"/>
      <c r="G120" s="27"/>
      <c r="H120" s="27"/>
      <c r="I120" s="27"/>
      <c r="J120" s="19"/>
      <c r="K120" s="19"/>
      <c r="L120" s="19"/>
      <c r="M120" s="30"/>
      <c r="N120" s="3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9.5" customHeight="1">
      <c r="A121" s="26">
        <v>46129.0</v>
      </c>
      <c r="B121" s="19"/>
      <c r="C121" s="27"/>
      <c r="D121" s="19"/>
      <c r="E121" s="27"/>
      <c r="F121" s="27"/>
      <c r="G121" s="27"/>
      <c r="H121" s="27"/>
      <c r="I121" s="27"/>
      <c r="J121" s="19"/>
      <c r="K121" s="19"/>
      <c r="L121" s="19"/>
      <c r="M121" s="30"/>
      <c r="N121" s="3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9.5" customHeight="1">
      <c r="A122" s="26">
        <v>46130.0</v>
      </c>
      <c r="B122" s="19"/>
      <c r="C122" s="27"/>
      <c r="D122" s="19"/>
      <c r="E122" s="27"/>
      <c r="F122" s="27"/>
      <c r="G122" s="27"/>
      <c r="H122" s="27"/>
      <c r="I122" s="27"/>
      <c r="J122" s="19"/>
      <c r="K122" s="19"/>
      <c r="L122" s="19"/>
      <c r="M122" s="30"/>
      <c r="N122" s="3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9.5" customHeight="1">
      <c r="A123" s="26">
        <v>46131.0</v>
      </c>
      <c r="B123" s="19"/>
      <c r="C123" s="27"/>
      <c r="D123" s="19"/>
      <c r="E123" s="19"/>
      <c r="F123" s="27"/>
      <c r="G123" s="27"/>
      <c r="I123" s="19"/>
      <c r="J123" s="19"/>
      <c r="K123" s="27"/>
      <c r="L123" s="27"/>
      <c r="M123" s="30"/>
      <c r="N123" s="3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9.5" customHeight="1">
      <c r="A124" s="26">
        <v>46132.0</v>
      </c>
      <c r="B124" s="19"/>
      <c r="C124" s="27"/>
      <c r="D124" s="19"/>
      <c r="E124" s="27"/>
      <c r="F124" s="27"/>
      <c r="G124" s="27"/>
      <c r="H124" s="27"/>
      <c r="I124" s="27"/>
      <c r="J124" s="19"/>
      <c r="K124" s="19"/>
      <c r="L124" s="19"/>
      <c r="M124" s="30"/>
      <c r="N124" s="3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9.5" customHeight="1">
      <c r="A125" s="26">
        <v>46133.0</v>
      </c>
      <c r="B125" s="19"/>
      <c r="C125" s="27"/>
      <c r="D125" s="19"/>
      <c r="E125" s="19"/>
      <c r="F125" s="27"/>
      <c r="G125" s="27"/>
      <c r="H125" s="27"/>
      <c r="I125" s="19"/>
      <c r="J125" s="19"/>
      <c r="K125" s="19"/>
      <c r="L125" s="19"/>
      <c r="M125" s="30"/>
      <c r="N125" s="3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9.5" customHeight="1">
      <c r="A126" s="26">
        <v>46134.0</v>
      </c>
      <c r="B126" s="19"/>
      <c r="C126" s="27"/>
      <c r="D126" s="19"/>
      <c r="E126" s="19"/>
      <c r="F126" s="27"/>
      <c r="G126" s="27"/>
      <c r="H126" s="27"/>
      <c r="I126" s="27"/>
      <c r="J126" s="19"/>
      <c r="K126" s="19"/>
      <c r="L126" s="27"/>
      <c r="M126" s="30"/>
      <c r="N126" s="3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9.5" customHeight="1">
      <c r="A127" s="26">
        <v>46135.0</v>
      </c>
      <c r="B127" s="19"/>
      <c r="C127" s="27"/>
      <c r="D127" s="19"/>
      <c r="E127" s="27"/>
      <c r="F127" s="27"/>
      <c r="G127" s="27"/>
      <c r="H127" s="27"/>
      <c r="I127" s="27"/>
      <c r="J127" s="19"/>
      <c r="K127" s="27"/>
      <c r="L127" s="27"/>
      <c r="M127" s="30"/>
      <c r="N127" s="3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9.5" customHeight="1">
      <c r="A128" s="26">
        <v>46136.0</v>
      </c>
      <c r="B128" s="19"/>
      <c r="C128" s="27"/>
      <c r="D128" s="19"/>
      <c r="E128" s="19"/>
      <c r="F128" s="27"/>
      <c r="G128" s="27"/>
      <c r="I128" s="27"/>
      <c r="J128" s="19"/>
      <c r="K128" s="27"/>
      <c r="L128" s="27"/>
      <c r="M128" s="30"/>
      <c r="N128" s="3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9.5" customHeight="1">
      <c r="A129" s="26">
        <v>46137.0</v>
      </c>
      <c r="B129" s="19"/>
      <c r="C129" s="27"/>
      <c r="D129" s="19"/>
      <c r="E129" s="27"/>
      <c r="F129" s="27"/>
      <c r="G129" s="27"/>
      <c r="H129" s="27"/>
      <c r="I129" s="27"/>
      <c r="J129" s="19"/>
      <c r="K129" s="19"/>
      <c r="L129" s="27"/>
      <c r="M129" s="30"/>
      <c r="N129" s="3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9.5" customHeight="1">
      <c r="A130" s="26">
        <v>46138.0</v>
      </c>
      <c r="B130" s="19"/>
      <c r="C130" s="27"/>
      <c r="D130" s="19"/>
      <c r="E130" s="27"/>
      <c r="F130" s="27"/>
      <c r="G130" s="27"/>
      <c r="H130" s="27"/>
      <c r="I130" s="27"/>
      <c r="J130" s="19"/>
      <c r="K130" s="19"/>
      <c r="L130" s="27"/>
      <c r="M130" s="30"/>
      <c r="N130" s="3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9.5" customHeight="1">
      <c r="A131" s="26">
        <v>46139.0</v>
      </c>
      <c r="B131" s="19"/>
      <c r="C131" s="27"/>
      <c r="D131" s="19"/>
      <c r="E131" s="27"/>
      <c r="F131" s="27"/>
      <c r="G131" s="27"/>
      <c r="H131" s="27"/>
      <c r="I131" s="27"/>
      <c r="J131" s="19"/>
      <c r="K131" s="27"/>
      <c r="L131" s="19"/>
      <c r="M131" s="30"/>
      <c r="N131" s="3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9.5" customHeight="1">
      <c r="A132" s="26">
        <v>46140.0</v>
      </c>
      <c r="B132" s="19"/>
      <c r="C132" s="27"/>
      <c r="D132" s="19"/>
      <c r="E132" s="27"/>
      <c r="F132" s="27"/>
      <c r="G132" s="27"/>
      <c r="H132" s="27"/>
      <c r="I132" s="27"/>
      <c r="J132" s="19"/>
      <c r="K132" s="19"/>
      <c r="L132" s="27"/>
      <c r="M132" s="30"/>
      <c r="N132" s="3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9.5" customHeight="1">
      <c r="A133" s="26">
        <v>46141.0</v>
      </c>
      <c r="B133" s="19"/>
      <c r="C133" s="27"/>
      <c r="D133" s="19"/>
      <c r="E133" s="19"/>
      <c r="F133" s="27"/>
      <c r="G133" s="27"/>
      <c r="H133" s="27"/>
      <c r="I133" s="27"/>
      <c r="J133" s="19"/>
      <c r="K133" s="19"/>
      <c r="L133" s="27"/>
      <c r="M133" s="30"/>
      <c r="N133" s="3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9.5" customHeight="1">
      <c r="A134" s="26">
        <v>46142.0</v>
      </c>
      <c r="B134" s="19"/>
      <c r="C134" s="27"/>
      <c r="D134" s="19"/>
      <c r="E134" s="19"/>
      <c r="F134" s="19"/>
      <c r="G134" s="27"/>
      <c r="H134" s="27"/>
      <c r="I134" s="27"/>
      <c r="J134" s="19"/>
      <c r="K134" s="19"/>
      <c r="L134" s="27"/>
      <c r="M134" s="30"/>
      <c r="N134" s="3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9.5" customHeight="1">
      <c r="A135" s="26">
        <v>46143.0</v>
      </c>
      <c r="B135" s="19"/>
      <c r="C135" s="27"/>
      <c r="D135" s="19"/>
      <c r="E135" s="27"/>
      <c r="F135" s="27"/>
      <c r="G135" s="27"/>
      <c r="H135" s="27"/>
      <c r="I135" s="27"/>
      <c r="J135" s="19"/>
      <c r="K135" s="19"/>
      <c r="L135" s="27"/>
      <c r="M135" s="30"/>
      <c r="N135" s="3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9.5" customHeight="1">
      <c r="A136" s="26">
        <v>46144.0</v>
      </c>
      <c r="B136" s="19"/>
      <c r="C136" s="27"/>
      <c r="D136" s="19"/>
      <c r="E136" s="19"/>
      <c r="F136" s="27"/>
      <c r="G136" s="27"/>
      <c r="H136" s="19"/>
      <c r="I136" s="27"/>
      <c r="J136" s="19"/>
      <c r="K136" s="19"/>
      <c r="L136" s="27"/>
      <c r="M136" s="30"/>
      <c r="N136" s="3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9.5" customHeight="1">
      <c r="A137" s="26">
        <v>46145.0</v>
      </c>
      <c r="B137" s="19"/>
      <c r="C137" s="27"/>
      <c r="D137" s="19"/>
      <c r="E137" s="27"/>
      <c r="F137" s="27"/>
      <c r="G137" s="27"/>
      <c r="H137" s="19"/>
      <c r="I137" s="27"/>
      <c r="J137" s="19"/>
      <c r="K137" s="27"/>
      <c r="L137" s="27"/>
      <c r="M137" s="30"/>
      <c r="N137" s="3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9.5" customHeight="1">
      <c r="A138" s="26">
        <v>46146.0</v>
      </c>
      <c r="B138" s="19"/>
      <c r="C138" s="27"/>
      <c r="D138" s="19"/>
      <c r="E138" s="27"/>
      <c r="F138" s="27"/>
      <c r="G138" s="27"/>
      <c r="H138" s="19"/>
      <c r="I138" s="27"/>
      <c r="J138" s="19"/>
      <c r="K138" s="19"/>
      <c r="L138" s="19"/>
      <c r="M138" s="30"/>
      <c r="N138" s="3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9.5" customHeight="1">
      <c r="A139" s="26">
        <v>46147.0</v>
      </c>
      <c r="B139" s="19"/>
      <c r="C139" s="27"/>
      <c r="D139" s="19"/>
      <c r="E139" s="19"/>
      <c r="F139" s="19"/>
      <c r="G139" s="27"/>
      <c r="H139" s="27"/>
      <c r="I139" s="27"/>
      <c r="J139" s="19"/>
      <c r="K139" s="19"/>
      <c r="L139" s="27"/>
      <c r="M139" s="30"/>
      <c r="N139" s="3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9.5" customHeight="1">
      <c r="A140" s="26">
        <v>46148.0</v>
      </c>
      <c r="B140" s="19"/>
      <c r="C140" s="27"/>
      <c r="D140" s="19"/>
      <c r="E140" s="19"/>
      <c r="F140" s="27"/>
      <c r="G140" s="27"/>
      <c r="H140" s="27"/>
      <c r="I140" s="19"/>
      <c r="J140" s="19"/>
      <c r="K140" s="19"/>
      <c r="L140" s="27"/>
      <c r="M140" s="30"/>
      <c r="N140" s="3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9.5" customHeight="1">
      <c r="A141" s="26">
        <v>46149.0</v>
      </c>
      <c r="B141" s="19"/>
      <c r="C141" s="27"/>
      <c r="D141" s="19"/>
      <c r="E141" s="19"/>
      <c r="F141" s="27"/>
      <c r="G141" s="27"/>
      <c r="H141" s="27"/>
      <c r="I141" s="19"/>
      <c r="J141" s="19"/>
      <c r="K141" s="27"/>
      <c r="L141" s="27"/>
      <c r="M141" s="30"/>
      <c r="N141" s="3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9.5" customHeight="1">
      <c r="A142" s="26">
        <v>46150.0</v>
      </c>
      <c r="B142" s="19"/>
      <c r="C142" s="27"/>
      <c r="D142" s="19"/>
      <c r="E142" s="19"/>
      <c r="F142" s="27"/>
      <c r="G142" s="27"/>
      <c r="H142" s="27"/>
      <c r="I142" s="27"/>
      <c r="J142" s="19"/>
      <c r="K142" s="19"/>
      <c r="L142" s="19"/>
      <c r="M142" s="30"/>
      <c r="N142" s="3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9.5" customHeight="1">
      <c r="A143" s="26">
        <v>46151.0</v>
      </c>
      <c r="B143" s="19"/>
      <c r="C143" s="27"/>
      <c r="D143" s="19"/>
      <c r="E143" s="27"/>
      <c r="F143" s="27"/>
      <c r="G143" s="27"/>
      <c r="H143" s="27"/>
      <c r="I143" s="27"/>
      <c r="J143" s="19"/>
      <c r="K143" s="19"/>
      <c r="L143" s="27"/>
      <c r="M143" s="30"/>
      <c r="N143" s="3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9.5" customHeight="1">
      <c r="A144" s="26">
        <v>46152.0</v>
      </c>
      <c r="B144" s="19"/>
      <c r="C144" s="27"/>
      <c r="D144" s="19"/>
      <c r="E144" s="27"/>
      <c r="F144" s="27"/>
      <c r="G144" s="27"/>
      <c r="H144" s="27"/>
      <c r="I144" s="27"/>
      <c r="J144" s="19"/>
      <c r="K144" s="27"/>
      <c r="L144" s="27"/>
      <c r="M144" s="30"/>
      <c r="N144" s="3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9.5" customHeight="1">
      <c r="A145" s="26">
        <v>46153.0</v>
      </c>
      <c r="B145" s="19"/>
      <c r="C145" s="27"/>
      <c r="D145" s="19"/>
      <c r="E145" s="27"/>
      <c r="F145" s="27"/>
      <c r="G145" s="27"/>
      <c r="H145" s="27"/>
      <c r="I145" s="27"/>
      <c r="J145" s="19"/>
      <c r="K145" s="19"/>
      <c r="L145" s="27"/>
      <c r="M145" s="30"/>
      <c r="N145" s="3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9.5" customHeight="1">
      <c r="A146" s="26">
        <v>46154.0</v>
      </c>
      <c r="B146" s="19"/>
      <c r="C146" s="27"/>
      <c r="D146" s="19"/>
      <c r="E146" s="19"/>
      <c r="F146" s="27"/>
      <c r="G146" s="19"/>
      <c r="H146" s="27"/>
      <c r="I146" s="27"/>
      <c r="J146" s="19"/>
      <c r="K146" s="19"/>
      <c r="L146" s="27"/>
      <c r="M146" s="30"/>
      <c r="N146" s="3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9.5" customHeight="1">
      <c r="A147" s="26">
        <v>46155.0</v>
      </c>
      <c r="B147" s="19"/>
      <c r="C147" s="27"/>
      <c r="D147" s="19"/>
      <c r="E147" s="27"/>
      <c r="F147" s="27"/>
      <c r="G147" s="27"/>
      <c r="H147" s="19"/>
      <c r="I147" s="27"/>
      <c r="J147" s="19"/>
      <c r="K147" s="19"/>
      <c r="L147" s="27"/>
      <c r="M147" s="30"/>
      <c r="N147" s="3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9.5" customHeight="1">
      <c r="A148" s="26">
        <v>46156.0</v>
      </c>
      <c r="B148" s="19"/>
      <c r="C148" s="27"/>
      <c r="D148" s="19"/>
      <c r="E148" s="27"/>
      <c r="F148" s="27"/>
      <c r="G148" s="27"/>
      <c r="H148" s="27"/>
      <c r="I148" s="27"/>
      <c r="J148" s="19"/>
      <c r="K148" s="19"/>
      <c r="L148" s="19"/>
      <c r="M148" s="30"/>
      <c r="N148" s="3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9.5" customHeight="1">
      <c r="A149" s="26">
        <v>46157.0</v>
      </c>
      <c r="B149" s="19"/>
      <c r="C149" s="27"/>
      <c r="D149" s="19"/>
      <c r="E149" s="27"/>
      <c r="F149" s="27"/>
      <c r="G149" s="27"/>
      <c r="H149" s="27"/>
      <c r="I149" s="27"/>
      <c r="J149" s="19"/>
      <c r="K149" s="19"/>
      <c r="L149" s="19"/>
      <c r="M149" s="30"/>
      <c r="N149" s="3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9.5" customHeight="1">
      <c r="A150" s="26">
        <v>46158.0</v>
      </c>
      <c r="B150" s="19"/>
      <c r="C150" s="27"/>
      <c r="D150" s="19"/>
      <c r="E150" s="19"/>
      <c r="F150" s="27"/>
      <c r="G150" s="27"/>
      <c r="H150" s="19"/>
      <c r="I150" s="27"/>
      <c r="J150" s="19"/>
      <c r="K150" s="27"/>
      <c r="L150" s="27"/>
      <c r="M150" s="30"/>
      <c r="N150" s="3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9.5" customHeight="1">
      <c r="A151" s="26">
        <v>46159.0</v>
      </c>
      <c r="B151" s="19"/>
      <c r="C151" s="27"/>
      <c r="D151" s="19"/>
      <c r="E151" s="19"/>
      <c r="F151" s="27"/>
      <c r="G151" s="27"/>
      <c r="H151" s="27"/>
      <c r="I151" s="27"/>
      <c r="J151" s="19"/>
      <c r="K151" s="19"/>
      <c r="L151" s="19"/>
      <c r="M151" s="30"/>
      <c r="N151" s="3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9.5" customHeight="1">
      <c r="A152" s="26">
        <v>46160.0</v>
      </c>
      <c r="B152" s="19"/>
      <c r="C152" s="27"/>
      <c r="D152" s="19"/>
      <c r="E152" s="27"/>
      <c r="F152" s="27"/>
      <c r="G152" s="27"/>
      <c r="H152" s="19"/>
      <c r="I152" s="27"/>
      <c r="J152" s="19"/>
      <c r="K152" s="27"/>
      <c r="L152" s="27"/>
      <c r="M152" s="30"/>
      <c r="N152" s="3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29" t="s">
        <v>12</v>
      </c>
    </row>
    <row r="153" ht="19.5" customHeight="1">
      <c r="A153" s="26">
        <v>46161.0</v>
      </c>
      <c r="B153" s="19"/>
      <c r="C153" s="27"/>
      <c r="D153" s="19"/>
      <c r="E153" s="27"/>
      <c r="F153" s="27"/>
      <c r="G153" s="19"/>
      <c r="H153" s="27"/>
      <c r="I153" s="27"/>
      <c r="J153" s="19"/>
      <c r="K153" s="19"/>
      <c r="L153" s="27"/>
      <c r="M153" s="30"/>
      <c r="N153" s="3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9.5" customHeight="1">
      <c r="A154" s="26">
        <v>46162.0</v>
      </c>
      <c r="B154" s="19"/>
      <c r="C154" s="27"/>
      <c r="D154" s="19"/>
      <c r="E154" s="27"/>
      <c r="F154" s="27"/>
      <c r="G154" s="27"/>
      <c r="H154" s="27"/>
      <c r="I154" s="27"/>
      <c r="J154" s="19"/>
      <c r="K154" s="19"/>
      <c r="L154" s="27"/>
      <c r="M154" s="30"/>
      <c r="N154" s="3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9.5" customHeight="1">
      <c r="A155" s="26">
        <v>46163.0</v>
      </c>
      <c r="B155" s="19"/>
      <c r="C155" s="27"/>
      <c r="D155" s="19"/>
      <c r="E155" s="19"/>
      <c r="F155" s="27"/>
      <c r="G155" s="19"/>
      <c r="H155" s="27"/>
      <c r="I155" s="27"/>
      <c r="J155" s="19"/>
      <c r="K155" s="19"/>
      <c r="L155" s="27"/>
      <c r="M155" s="30"/>
      <c r="N155" s="3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9.5" customHeight="1">
      <c r="A156" s="26">
        <v>46164.0</v>
      </c>
      <c r="B156" s="19"/>
      <c r="C156" s="27"/>
      <c r="D156" s="19"/>
      <c r="E156" s="27"/>
      <c r="F156" s="27"/>
      <c r="G156" s="27"/>
      <c r="H156" s="27"/>
      <c r="I156" s="27"/>
      <c r="J156" s="19"/>
      <c r="K156" s="27"/>
      <c r="L156" s="19"/>
      <c r="M156" s="30"/>
      <c r="N156" s="3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9.5" customHeight="1">
      <c r="A157" s="26">
        <v>46165.0</v>
      </c>
      <c r="B157" s="19"/>
      <c r="C157" s="27"/>
      <c r="D157" s="19"/>
      <c r="E157" s="19"/>
      <c r="F157" s="27"/>
      <c r="G157" s="27"/>
      <c r="H157" s="27"/>
      <c r="I157" s="27"/>
      <c r="J157" s="19"/>
      <c r="K157" s="19"/>
      <c r="L157" s="27"/>
      <c r="M157" s="30"/>
      <c r="N157" s="3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9.5" customHeight="1">
      <c r="A158" s="26">
        <v>46166.0</v>
      </c>
      <c r="B158" s="19"/>
      <c r="C158" s="27"/>
      <c r="D158" s="19"/>
      <c r="E158" s="27"/>
      <c r="F158" s="27"/>
      <c r="G158" s="27"/>
      <c r="H158" s="27"/>
      <c r="I158" s="27"/>
      <c r="J158" s="19"/>
      <c r="K158" s="27"/>
      <c r="L158" s="27"/>
      <c r="M158" s="30"/>
      <c r="N158" s="3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9.5" customHeight="1">
      <c r="A159" s="26">
        <v>46167.0</v>
      </c>
      <c r="B159" s="19"/>
      <c r="C159" s="27"/>
      <c r="D159" s="19"/>
      <c r="E159" s="27"/>
      <c r="F159" s="27"/>
      <c r="G159" s="27"/>
      <c r="H159" s="27"/>
      <c r="I159" s="27"/>
      <c r="J159" s="19"/>
      <c r="K159" s="19"/>
      <c r="L159" s="19"/>
      <c r="M159" s="30"/>
      <c r="N159" s="3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9.5" customHeight="1">
      <c r="A160" s="26">
        <v>46168.0</v>
      </c>
      <c r="B160" s="19"/>
      <c r="C160" s="27"/>
      <c r="D160" s="19"/>
      <c r="E160" s="27"/>
      <c r="F160" s="27"/>
      <c r="G160" s="27"/>
      <c r="H160" s="27"/>
      <c r="I160" s="27"/>
      <c r="J160" s="27"/>
      <c r="K160" s="19"/>
      <c r="L160" s="27"/>
      <c r="M160" s="30"/>
      <c r="N160" s="3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9.5" customHeight="1">
      <c r="A161" s="26">
        <v>46169.0</v>
      </c>
      <c r="B161" s="19"/>
      <c r="C161" s="27"/>
      <c r="D161" s="19"/>
      <c r="E161" s="27"/>
      <c r="F161" s="27"/>
      <c r="G161" s="27"/>
      <c r="H161" s="19"/>
      <c r="I161" s="27"/>
      <c r="J161" s="19"/>
      <c r="K161" s="19"/>
      <c r="L161" s="27"/>
      <c r="M161" s="30"/>
      <c r="N161" s="3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9.5" customHeight="1">
      <c r="A162" s="26">
        <v>46170.0</v>
      </c>
      <c r="B162" s="19"/>
      <c r="C162" s="27"/>
      <c r="D162" s="19"/>
      <c r="E162" s="19"/>
      <c r="F162" s="19"/>
      <c r="G162" s="27"/>
      <c r="H162" s="27"/>
      <c r="I162" s="19"/>
      <c r="J162" s="19"/>
      <c r="K162" s="27"/>
      <c r="L162" s="19"/>
      <c r="M162" s="30"/>
      <c r="N162" s="3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9.5" customHeight="1">
      <c r="A163" s="26">
        <v>46171.0</v>
      </c>
      <c r="B163" s="19"/>
      <c r="C163" s="27"/>
      <c r="D163" s="19"/>
      <c r="E163" s="19"/>
      <c r="F163" s="27"/>
      <c r="G163" s="27"/>
      <c r="H163" s="27"/>
      <c r="I163" s="27"/>
      <c r="J163" s="19"/>
      <c r="K163" s="27"/>
      <c r="L163" s="27"/>
      <c r="M163" s="30"/>
      <c r="N163" s="3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9.5" customHeight="1">
      <c r="A164" s="26">
        <v>46172.0</v>
      </c>
      <c r="B164" s="19"/>
      <c r="C164" s="27"/>
      <c r="D164" s="19"/>
      <c r="E164" s="27"/>
      <c r="F164" s="27"/>
      <c r="G164" s="27"/>
      <c r="H164" s="27"/>
      <c r="I164" s="27"/>
      <c r="J164" s="19"/>
      <c r="K164" s="19"/>
      <c r="L164" s="19"/>
      <c r="M164" s="30"/>
      <c r="N164" s="3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9.5" customHeight="1">
      <c r="A165" s="26">
        <v>46173.0</v>
      </c>
      <c r="B165" s="19"/>
      <c r="C165" s="27"/>
      <c r="D165" s="19"/>
      <c r="E165" s="19"/>
      <c r="F165" s="27"/>
      <c r="G165" s="27"/>
      <c r="H165" s="19"/>
      <c r="I165" s="27"/>
      <c r="J165" s="19"/>
      <c r="K165" s="27"/>
      <c r="L165" s="27"/>
      <c r="M165" s="30"/>
      <c r="N165" s="3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9.5" customHeight="1">
      <c r="A166" s="26">
        <v>46174.0</v>
      </c>
      <c r="B166" s="19"/>
      <c r="C166" s="27"/>
      <c r="D166" s="19"/>
      <c r="E166" s="27"/>
      <c r="F166" s="27"/>
      <c r="G166" s="27"/>
      <c r="H166" s="19"/>
      <c r="I166" s="19"/>
      <c r="J166" s="19"/>
      <c r="K166" s="19"/>
      <c r="L166" s="19"/>
      <c r="M166" s="30"/>
      <c r="N166" s="3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9.5" customHeight="1">
      <c r="A167" s="26">
        <v>46175.0</v>
      </c>
      <c r="B167" s="19"/>
      <c r="C167" s="27"/>
      <c r="D167" s="19"/>
      <c r="E167" s="27"/>
      <c r="F167" s="27"/>
      <c r="G167" s="27"/>
      <c r="H167" s="27"/>
      <c r="I167" s="27"/>
      <c r="J167" s="19"/>
      <c r="K167" s="19"/>
      <c r="L167" s="27"/>
      <c r="M167" s="30"/>
      <c r="N167" s="3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9.5" customHeight="1">
      <c r="A168" s="26">
        <v>46176.0</v>
      </c>
      <c r="B168" s="19"/>
      <c r="C168" s="27"/>
      <c r="D168" s="19"/>
      <c r="E168" s="19"/>
      <c r="F168" s="27"/>
      <c r="G168" s="27"/>
      <c r="H168" s="27"/>
      <c r="I168" s="27"/>
      <c r="J168" s="19"/>
      <c r="K168" s="19"/>
      <c r="L168" s="27"/>
      <c r="M168" s="30"/>
      <c r="N168" s="3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9.5" customHeight="1">
      <c r="A169" s="26">
        <v>46177.0</v>
      </c>
      <c r="B169" s="19"/>
      <c r="C169" s="27"/>
      <c r="D169" s="19"/>
      <c r="E169" s="19"/>
      <c r="F169" s="27"/>
      <c r="G169" s="27"/>
      <c r="H169" s="27"/>
      <c r="I169" s="27"/>
      <c r="J169" s="19"/>
      <c r="K169" s="19"/>
      <c r="L169" s="27"/>
      <c r="M169" s="30"/>
      <c r="N169" s="3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9.5" customHeight="1">
      <c r="A170" s="26">
        <v>46178.0</v>
      </c>
      <c r="B170" s="19"/>
      <c r="C170" s="27"/>
      <c r="D170" s="19"/>
      <c r="E170" s="19"/>
      <c r="F170" s="27"/>
      <c r="G170" s="27"/>
      <c r="H170" s="19"/>
      <c r="I170" s="27"/>
      <c r="J170" s="19"/>
      <c r="K170" s="19"/>
      <c r="L170" s="27"/>
      <c r="M170" s="30"/>
      <c r="N170" s="3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9.5" customHeight="1">
      <c r="A171" s="26">
        <v>46179.0</v>
      </c>
      <c r="B171" s="19"/>
      <c r="C171" s="27"/>
      <c r="D171" s="19"/>
      <c r="E171" s="27"/>
      <c r="F171" s="27"/>
      <c r="G171" s="27"/>
      <c r="H171" s="27"/>
      <c r="I171" s="19"/>
      <c r="J171" s="19"/>
      <c r="K171" s="19"/>
      <c r="L171" s="27"/>
      <c r="M171" s="30"/>
      <c r="N171" s="3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9.5" customHeight="1">
      <c r="A172" s="26">
        <v>46180.0</v>
      </c>
      <c r="B172" s="19"/>
      <c r="C172" s="27"/>
      <c r="D172" s="19"/>
      <c r="E172" s="19"/>
      <c r="F172" s="27"/>
      <c r="G172" s="27"/>
      <c r="H172" s="27"/>
      <c r="I172" s="27"/>
      <c r="J172" s="27"/>
      <c r="K172" s="19"/>
      <c r="L172" s="27"/>
      <c r="M172" s="30"/>
      <c r="N172" s="3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9.5" customHeight="1">
      <c r="A173" s="26">
        <v>46181.0</v>
      </c>
      <c r="B173" s="19"/>
      <c r="C173" s="27"/>
      <c r="D173" s="19"/>
      <c r="E173" s="19"/>
      <c r="F173" s="27"/>
      <c r="G173" s="27"/>
      <c r="H173" s="27"/>
      <c r="I173" s="27"/>
      <c r="J173" s="19"/>
      <c r="K173" s="19"/>
      <c r="L173" s="27"/>
      <c r="M173" s="30"/>
      <c r="N173" s="3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9.5" customHeight="1">
      <c r="A174" s="26">
        <v>46182.0</v>
      </c>
      <c r="B174" s="19"/>
      <c r="C174" s="27"/>
      <c r="D174" s="19"/>
      <c r="E174" s="27"/>
      <c r="F174" s="27"/>
      <c r="G174" s="19"/>
      <c r="H174" s="27"/>
      <c r="I174" s="27"/>
      <c r="J174" s="27"/>
      <c r="K174" s="19"/>
      <c r="L174" s="27"/>
      <c r="M174" s="30"/>
      <c r="N174" s="3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9.5" customHeight="1">
      <c r="A175" s="26">
        <v>46183.0</v>
      </c>
      <c r="B175" s="19"/>
      <c r="C175" s="27"/>
      <c r="D175" s="19"/>
      <c r="E175" s="27"/>
      <c r="F175" s="27"/>
      <c r="G175" s="27"/>
      <c r="H175" s="27"/>
      <c r="I175" s="27"/>
      <c r="J175" s="19"/>
      <c r="K175" s="19"/>
      <c r="L175" s="27"/>
      <c r="M175" s="30"/>
      <c r="N175" s="3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9.5" customHeight="1">
      <c r="A176" s="26">
        <v>46184.0</v>
      </c>
      <c r="B176" s="19"/>
      <c r="C176" s="27"/>
      <c r="D176" s="19"/>
      <c r="E176" s="19"/>
      <c r="F176" s="27"/>
      <c r="G176" s="19"/>
      <c r="H176" s="27"/>
      <c r="I176" s="27"/>
      <c r="J176" s="27"/>
      <c r="K176" s="27"/>
      <c r="L176" s="19"/>
      <c r="M176" s="30"/>
      <c r="N176" s="3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9.5" customHeight="1">
      <c r="A177" s="26">
        <v>46185.0</v>
      </c>
      <c r="B177" s="19"/>
      <c r="C177" s="27"/>
      <c r="D177" s="19"/>
      <c r="E177" s="27"/>
      <c r="F177" s="27"/>
      <c r="G177" s="27"/>
      <c r="H177" s="27"/>
      <c r="I177" s="27"/>
      <c r="J177" s="19"/>
      <c r="K177" s="27"/>
      <c r="L177" s="19"/>
      <c r="M177" s="30"/>
      <c r="N177" s="3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9.5" customHeight="1">
      <c r="A178" s="26">
        <v>46186.0</v>
      </c>
      <c r="B178" s="19"/>
      <c r="C178" s="27"/>
      <c r="D178" s="19"/>
      <c r="E178" s="27"/>
      <c r="F178" s="27"/>
      <c r="G178" s="27"/>
      <c r="H178" s="27"/>
      <c r="I178" s="27"/>
      <c r="J178" s="19"/>
      <c r="K178" s="19"/>
      <c r="L178" s="27"/>
      <c r="M178" s="30"/>
      <c r="N178" s="3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9.5" customHeight="1">
      <c r="A179" s="26">
        <v>46187.0</v>
      </c>
      <c r="B179" s="19"/>
      <c r="C179" s="27"/>
      <c r="D179" s="19"/>
      <c r="E179" s="19"/>
      <c r="F179" s="27"/>
      <c r="G179" s="27"/>
      <c r="H179" s="27"/>
      <c r="I179" s="27"/>
      <c r="J179" s="19"/>
      <c r="K179" s="19"/>
      <c r="L179" s="27"/>
      <c r="M179" s="30"/>
      <c r="N179" s="3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9.5" customHeight="1">
      <c r="A180" s="26">
        <v>46188.0</v>
      </c>
      <c r="B180" s="19"/>
      <c r="C180" s="27"/>
      <c r="D180" s="19"/>
      <c r="E180" s="19"/>
      <c r="F180" s="27"/>
      <c r="G180" s="27"/>
      <c r="H180" s="27"/>
      <c r="I180" s="27"/>
      <c r="J180" s="19"/>
      <c r="K180" s="19"/>
      <c r="L180" s="27"/>
      <c r="M180" s="30"/>
      <c r="N180" s="3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9.5" customHeight="1">
      <c r="A181" s="26">
        <v>46189.0</v>
      </c>
      <c r="B181" s="19"/>
      <c r="C181" s="27"/>
      <c r="D181" s="19"/>
      <c r="E181" s="27"/>
      <c r="F181" s="27"/>
      <c r="G181" s="27"/>
      <c r="H181" s="19"/>
      <c r="I181" s="27"/>
      <c r="J181" s="27"/>
      <c r="K181" s="27"/>
      <c r="L181" s="27"/>
      <c r="M181" s="30"/>
      <c r="N181" s="3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9.5" customHeight="1">
      <c r="A182" s="26">
        <v>46190.0</v>
      </c>
      <c r="B182" s="19"/>
      <c r="C182" s="27"/>
      <c r="D182" s="19"/>
      <c r="E182" s="19"/>
      <c r="F182" s="27"/>
      <c r="G182" s="27"/>
      <c r="H182" s="27"/>
      <c r="I182" s="27"/>
      <c r="J182" s="19"/>
      <c r="K182" s="19"/>
      <c r="L182" s="27"/>
      <c r="M182" s="30"/>
      <c r="N182" s="3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9.5" customHeight="1">
      <c r="A183" s="26">
        <v>46191.0</v>
      </c>
      <c r="B183" s="19"/>
      <c r="C183" s="27"/>
      <c r="D183" s="19"/>
      <c r="E183" s="27"/>
      <c r="F183" s="27"/>
      <c r="G183" s="19"/>
      <c r="H183" s="19"/>
      <c r="I183" s="27"/>
      <c r="J183" s="19"/>
      <c r="K183" s="19"/>
      <c r="L183" s="27"/>
      <c r="M183" s="30"/>
      <c r="N183" s="3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9.5" customHeight="1">
      <c r="A184" s="26">
        <v>46192.0</v>
      </c>
      <c r="B184" s="19"/>
      <c r="C184" s="27"/>
      <c r="D184" s="19"/>
      <c r="E184" s="27"/>
      <c r="F184" s="27"/>
      <c r="G184" s="27"/>
      <c r="H184" s="19"/>
      <c r="I184" s="19"/>
      <c r="J184" s="19"/>
      <c r="K184" s="19"/>
      <c r="L184" s="27"/>
      <c r="M184" s="30"/>
      <c r="N184" s="3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9.5" customHeight="1">
      <c r="A185" s="26">
        <v>46193.0</v>
      </c>
      <c r="B185" s="19"/>
      <c r="C185" s="27"/>
      <c r="D185" s="19"/>
      <c r="E185" s="27"/>
      <c r="F185" s="27"/>
      <c r="G185" s="27"/>
      <c r="H185" s="27"/>
      <c r="I185" s="27"/>
      <c r="J185" s="19"/>
      <c r="K185" s="19"/>
      <c r="L185" s="27"/>
      <c r="M185" s="30"/>
      <c r="N185" s="3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9.5" customHeight="1">
      <c r="A186" s="26">
        <v>46194.0</v>
      </c>
      <c r="B186" s="19"/>
      <c r="C186" s="27"/>
      <c r="D186" s="19"/>
      <c r="E186" s="27"/>
      <c r="F186" s="27"/>
      <c r="G186" s="27"/>
      <c r="H186" s="27"/>
      <c r="I186" s="27"/>
      <c r="J186" s="19"/>
      <c r="K186" s="19"/>
      <c r="L186" s="27"/>
      <c r="M186" s="30"/>
      <c r="N186" s="3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9.5" customHeight="1">
      <c r="A187" s="26">
        <v>46195.0</v>
      </c>
      <c r="B187" s="19"/>
      <c r="C187" s="27"/>
      <c r="D187" s="19"/>
      <c r="E187" s="19"/>
      <c r="F187" s="27"/>
      <c r="G187" s="27"/>
      <c r="H187" s="27"/>
      <c r="I187" s="27"/>
      <c r="J187" s="19"/>
      <c r="K187" s="19"/>
      <c r="L187" s="19"/>
      <c r="M187" s="30"/>
      <c r="N187" s="3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9.5" customHeight="1">
      <c r="A188" s="26">
        <v>46196.0</v>
      </c>
      <c r="B188" s="19"/>
      <c r="C188" s="27"/>
      <c r="D188" s="19"/>
      <c r="E188" s="19"/>
      <c r="F188" s="27"/>
      <c r="G188" s="19"/>
      <c r="H188" s="27"/>
      <c r="I188" s="27"/>
      <c r="J188" s="19"/>
      <c r="K188" s="27"/>
      <c r="L188" s="27"/>
      <c r="M188" s="30"/>
      <c r="N188" s="3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9.5" customHeight="1">
      <c r="A189" s="26">
        <v>46197.0</v>
      </c>
      <c r="B189" s="19"/>
      <c r="C189" s="27"/>
      <c r="D189" s="19"/>
      <c r="E189" s="27"/>
      <c r="F189" s="27"/>
      <c r="G189" s="27"/>
      <c r="H189" s="27"/>
      <c r="I189" s="27"/>
      <c r="J189" s="19"/>
      <c r="K189" s="27"/>
      <c r="L189" s="27"/>
      <c r="M189" s="30"/>
      <c r="N189" s="3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9.5" customHeight="1">
      <c r="A190" s="26">
        <v>46198.0</v>
      </c>
      <c r="B190" s="19"/>
      <c r="C190" s="27"/>
      <c r="D190" s="19"/>
      <c r="E190" s="27"/>
      <c r="F190" s="27"/>
      <c r="G190" s="27"/>
      <c r="H190" s="27"/>
      <c r="I190" s="27"/>
      <c r="J190" s="19"/>
      <c r="K190" s="19"/>
      <c r="L190" s="19"/>
      <c r="M190" s="30"/>
      <c r="N190" s="3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9.5" customHeight="1">
      <c r="A191" s="26">
        <v>46199.0</v>
      </c>
      <c r="B191" s="19"/>
      <c r="C191" s="27"/>
      <c r="D191" s="19"/>
      <c r="E191" s="19"/>
      <c r="F191" s="27"/>
      <c r="G191" s="27"/>
      <c r="H191" s="27"/>
      <c r="I191" s="27"/>
      <c r="J191" s="19"/>
      <c r="K191" s="19"/>
      <c r="L191" s="27"/>
      <c r="M191" s="30"/>
      <c r="N191" s="3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9.5" customHeight="1">
      <c r="A192" s="26">
        <v>46200.0</v>
      </c>
      <c r="B192" s="19"/>
      <c r="C192" s="27"/>
      <c r="D192" s="19"/>
      <c r="E192" s="19"/>
      <c r="F192" s="27"/>
      <c r="G192" s="27"/>
      <c r="H192" s="27"/>
      <c r="I192" s="27"/>
      <c r="J192" s="19"/>
      <c r="K192" s="19"/>
      <c r="L192" s="27"/>
      <c r="M192" s="30"/>
      <c r="N192" s="3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9.5" customHeight="1">
      <c r="A193" s="26">
        <v>46201.0</v>
      </c>
      <c r="B193" s="19"/>
      <c r="C193" s="27"/>
      <c r="D193" s="19"/>
      <c r="E193" s="19"/>
      <c r="F193" s="27"/>
      <c r="G193" s="27"/>
      <c r="H193" s="27"/>
      <c r="I193" s="27"/>
      <c r="J193" s="19"/>
      <c r="K193" s="19"/>
      <c r="L193" s="27"/>
      <c r="M193" s="30"/>
      <c r="N193" s="3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9.5" customHeight="1">
      <c r="A194" s="26">
        <v>46202.0</v>
      </c>
      <c r="B194" s="19"/>
      <c r="C194" s="27"/>
      <c r="D194" s="19"/>
      <c r="E194" s="27"/>
      <c r="F194" s="27"/>
      <c r="G194" s="27"/>
      <c r="H194" s="27"/>
      <c r="I194" s="27"/>
      <c r="J194" s="27"/>
      <c r="K194" s="19"/>
      <c r="L194" s="19"/>
      <c r="M194" s="30"/>
      <c r="N194" s="3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9.5" customHeight="1">
      <c r="A195" s="26">
        <v>46203.0</v>
      </c>
      <c r="B195" s="19"/>
      <c r="C195" s="27"/>
      <c r="D195" s="19"/>
      <c r="E195" s="27"/>
      <c r="F195" s="27"/>
      <c r="G195" s="19"/>
      <c r="I195" s="27"/>
      <c r="J195" s="19"/>
      <c r="K195" s="27"/>
      <c r="L195" s="27"/>
      <c r="M195" s="30"/>
      <c r="N195" s="3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9.5" customHeight="1">
      <c r="A196" s="26">
        <v>46204.0</v>
      </c>
      <c r="B196" s="19"/>
      <c r="C196" s="27"/>
      <c r="D196" s="19"/>
      <c r="E196" s="27"/>
      <c r="F196" s="27"/>
      <c r="G196" s="27"/>
      <c r="H196" s="27"/>
      <c r="I196" s="27"/>
      <c r="J196" s="19"/>
      <c r="K196" s="19"/>
      <c r="L196" s="27"/>
      <c r="M196" s="30"/>
      <c r="N196" s="3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26">
        <v>46205.0</v>
      </c>
      <c r="B197" s="19"/>
      <c r="C197" s="27"/>
      <c r="D197" s="19"/>
      <c r="E197" s="27"/>
      <c r="F197" s="27"/>
      <c r="G197" s="27"/>
      <c r="H197" s="27"/>
      <c r="I197" s="27"/>
      <c r="J197" s="27"/>
      <c r="K197" s="19"/>
      <c r="L197" s="19"/>
      <c r="M197" s="30"/>
      <c r="N197" s="3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26">
        <v>46206.0</v>
      </c>
      <c r="B198" s="19"/>
      <c r="C198" s="27"/>
      <c r="D198" s="19"/>
      <c r="E198" s="27"/>
      <c r="F198" s="27"/>
      <c r="G198" s="27"/>
      <c r="H198" s="19"/>
      <c r="I198" s="19"/>
      <c r="J198" s="27"/>
      <c r="K198" s="19"/>
      <c r="L198" s="27"/>
      <c r="M198" s="30"/>
      <c r="N198" s="3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26">
        <v>46207.0</v>
      </c>
      <c r="B199" s="19"/>
      <c r="C199" s="27"/>
      <c r="D199" s="19"/>
      <c r="E199" s="27"/>
      <c r="F199" s="27"/>
      <c r="G199" s="27"/>
      <c r="H199" s="27"/>
      <c r="I199" s="27"/>
      <c r="J199" s="19"/>
      <c r="K199" s="19"/>
      <c r="L199" s="19"/>
      <c r="M199" s="30"/>
      <c r="N199" s="3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26">
        <v>46208.0</v>
      </c>
      <c r="B200" s="19"/>
      <c r="C200" s="27"/>
      <c r="D200" s="19"/>
      <c r="E200" s="19"/>
      <c r="F200" s="27"/>
      <c r="G200" s="27"/>
      <c r="H200" s="27"/>
      <c r="I200" s="27"/>
      <c r="J200" s="19"/>
      <c r="K200" s="19"/>
      <c r="L200" s="27"/>
      <c r="M200" s="30"/>
      <c r="N200" s="3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8.0" customHeight="1">
      <c r="A201" s="26">
        <v>46209.0</v>
      </c>
      <c r="B201" s="19"/>
      <c r="C201" s="27"/>
      <c r="D201" s="19"/>
      <c r="E201" s="27"/>
      <c r="F201" s="27"/>
      <c r="G201" s="27"/>
      <c r="H201" s="27"/>
      <c r="I201" s="19"/>
      <c r="J201" s="19"/>
      <c r="K201" s="27"/>
      <c r="L201" s="19"/>
      <c r="M201" s="30"/>
      <c r="N201" s="3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26">
        <v>46210.0</v>
      </c>
      <c r="B202" s="19"/>
      <c r="C202" s="27"/>
      <c r="D202" s="19"/>
      <c r="E202" s="27"/>
      <c r="F202" s="27"/>
      <c r="G202" s="27"/>
      <c r="H202" s="27"/>
      <c r="I202" s="27"/>
      <c r="J202" s="27"/>
      <c r="K202" s="27"/>
      <c r="L202" s="27"/>
      <c r="M202" s="30"/>
      <c r="N202" s="3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26">
        <v>46211.0</v>
      </c>
      <c r="B203" s="19"/>
      <c r="C203" s="27"/>
      <c r="D203" s="19"/>
      <c r="E203" s="19"/>
      <c r="F203" s="27"/>
      <c r="G203" s="27"/>
      <c r="H203" s="27"/>
      <c r="I203" s="27"/>
      <c r="J203" s="19"/>
      <c r="K203" s="19"/>
      <c r="L203" s="27"/>
      <c r="M203" s="30"/>
      <c r="N203" s="3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26">
        <v>46212.0</v>
      </c>
      <c r="B204" s="19"/>
      <c r="C204" s="27"/>
      <c r="D204" s="19"/>
      <c r="E204" s="27"/>
      <c r="F204" s="27"/>
      <c r="G204" s="27"/>
      <c r="H204" s="27"/>
      <c r="I204" s="27"/>
      <c r="J204" s="19"/>
      <c r="K204" s="19"/>
      <c r="L204" s="19"/>
      <c r="M204" s="30"/>
      <c r="N204" s="3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26">
        <v>46213.0</v>
      </c>
      <c r="B205" s="19"/>
      <c r="C205" s="27"/>
      <c r="D205" s="19"/>
      <c r="E205" s="27"/>
      <c r="F205" s="27"/>
      <c r="G205" s="27"/>
      <c r="H205" s="27"/>
      <c r="I205" s="27"/>
      <c r="K205" s="19"/>
      <c r="L205" s="27"/>
      <c r="M205" s="30"/>
      <c r="N205" s="3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26">
        <v>46214.0</v>
      </c>
      <c r="B206" s="19"/>
      <c r="C206" s="27"/>
      <c r="D206" s="19"/>
      <c r="E206" s="27"/>
      <c r="F206" s="27"/>
      <c r="G206" s="27"/>
      <c r="H206" s="19"/>
      <c r="I206" s="27"/>
      <c r="J206" s="19"/>
      <c r="K206" s="27"/>
      <c r="L206" s="27"/>
      <c r="M206" s="30"/>
      <c r="N206" s="3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26">
        <v>46215.0</v>
      </c>
      <c r="B207" s="19"/>
      <c r="C207" s="27"/>
      <c r="D207" s="19"/>
      <c r="E207" s="19"/>
      <c r="F207" s="27"/>
      <c r="G207" s="27"/>
      <c r="H207" s="19"/>
      <c r="I207" s="27"/>
      <c r="J207" s="27"/>
      <c r="K207" s="27"/>
      <c r="L207" s="27"/>
      <c r="M207" s="30"/>
      <c r="N207" s="3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26">
        <v>46216.0</v>
      </c>
      <c r="B208" s="19"/>
      <c r="C208" s="27"/>
      <c r="D208" s="19"/>
      <c r="E208" s="19"/>
      <c r="F208" s="27"/>
      <c r="G208" s="27"/>
      <c r="H208" s="27"/>
      <c r="J208" s="27"/>
      <c r="K208" s="19"/>
      <c r="L208" s="19"/>
      <c r="M208" s="30"/>
      <c r="N208" s="3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26">
        <v>46217.0</v>
      </c>
      <c r="B209" s="19"/>
      <c r="C209" s="27"/>
      <c r="D209" s="19"/>
      <c r="E209" s="27"/>
      <c r="F209" s="27"/>
      <c r="G209" s="27"/>
      <c r="H209" s="27"/>
      <c r="I209" s="19"/>
      <c r="J209" s="27"/>
      <c r="K209" s="19"/>
      <c r="L209" s="27"/>
      <c r="M209" s="30"/>
      <c r="N209" s="3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26">
        <v>46218.0</v>
      </c>
      <c r="B210" s="19"/>
      <c r="C210" s="27"/>
      <c r="D210" s="19"/>
      <c r="E210" s="27"/>
      <c r="F210" s="27"/>
      <c r="G210" s="27"/>
      <c r="H210" s="19"/>
      <c r="I210" s="27"/>
      <c r="J210" s="27"/>
      <c r="K210" s="27"/>
      <c r="L210" s="27"/>
      <c r="M210" s="30"/>
      <c r="N210" s="3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26">
        <v>46219.0</v>
      </c>
      <c r="B211" s="19"/>
      <c r="C211" s="27"/>
      <c r="D211" s="19"/>
      <c r="E211" s="27"/>
      <c r="F211" s="27"/>
      <c r="G211" s="27"/>
      <c r="H211" s="27"/>
      <c r="I211" s="27"/>
      <c r="J211" s="27"/>
      <c r="K211" s="27"/>
      <c r="L211" s="19"/>
      <c r="M211" s="30"/>
      <c r="N211" s="3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26">
        <v>46220.0</v>
      </c>
      <c r="B212" s="19"/>
      <c r="C212" s="27"/>
      <c r="D212" s="19"/>
      <c r="E212" s="27"/>
      <c r="F212" s="27"/>
      <c r="G212" s="27"/>
      <c r="H212" s="27"/>
      <c r="I212" s="27"/>
      <c r="J212" s="19"/>
      <c r="K212" s="19"/>
      <c r="L212" s="27"/>
      <c r="M212" s="30"/>
      <c r="N212" s="3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26">
        <v>46221.0</v>
      </c>
      <c r="B213" s="19"/>
      <c r="C213" s="27"/>
      <c r="D213" s="19"/>
      <c r="E213" s="19"/>
      <c r="F213" s="27"/>
      <c r="G213" s="27"/>
      <c r="H213" s="27"/>
      <c r="I213" s="27"/>
      <c r="J213" s="19"/>
      <c r="K213" s="19"/>
      <c r="L213" s="27"/>
      <c r="M213" s="30"/>
      <c r="N213" s="3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26">
        <v>46222.0</v>
      </c>
      <c r="B214" s="19"/>
      <c r="C214" s="27"/>
      <c r="D214" s="19"/>
      <c r="E214" s="27"/>
      <c r="F214" s="27"/>
      <c r="G214" s="27"/>
      <c r="H214" s="27"/>
      <c r="I214" s="27"/>
      <c r="J214" s="27"/>
      <c r="K214" s="19"/>
      <c r="L214" s="27"/>
      <c r="M214" s="30"/>
      <c r="N214" s="3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26">
        <v>46223.0</v>
      </c>
      <c r="B215" s="19"/>
      <c r="C215" s="27"/>
      <c r="D215" s="19"/>
      <c r="E215" s="19"/>
      <c r="F215" s="27"/>
      <c r="G215" s="27"/>
      <c r="H215" s="27"/>
      <c r="I215" s="19"/>
      <c r="J215" s="19"/>
      <c r="K215" s="19"/>
      <c r="L215" s="19"/>
      <c r="M215" s="30"/>
      <c r="N215" s="3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26">
        <v>46224.0</v>
      </c>
      <c r="B216" s="19"/>
      <c r="C216" s="27"/>
      <c r="D216" s="19"/>
      <c r="E216" s="27"/>
      <c r="F216" s="27"/>
      <c r="G216" s="27"/>
      <c r="I216" s="19"/>
      <c r="J216" s="19"/>
      <c r="K216" s="19"/>
      <c r="L216" s="27"/>
      <c r="M216" s="30"/>
      <c r="N216" s="3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26">
        <v>46225.0</v>
      </c>
      <c r="B217" s="19"/>
      <c r="C217" s="27"/>
      <c r="D217" s="19"/>
      <c r="E217" s="19"/>
      <c r="F217" s="27"/>
      <c r="G217" s="27"/>
      <c r="H217" s="19"/>
      <c r="I217" s="27"/>
      <c r="J217" s="19"/>
      <c r="K217" s="19"/>
      <c r="L217" s="27"/>
      <c r="M217" s="30"/>
      <c r="N217" s="3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26">
        <v>46226.0</v>
      </c>
      <c r="B218" s="19"/>
      <c r="C218" s="27"/>
      <c r="D218" s="19"/>
      <c r="E218" s="27"/>
      <c r="F218" s="27"/>
      <c r="G218" s="27"/>
      <c r="H218" s="27"/>
      <c r="I218" s="27"/>
      <c r="J218" s="19"/>
      <c r="K218" s="27"/>
      <c r="L218" s="27"/>
      <c r="M218" s="30"/>
      <c r="N218" s="3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26">
        <v>46227.0</v>
      </c>
      <c r="B219" s="19"/>
      <c r="C219" s="27"/>
      <c r="D219" s="19"/>
      <c r="E219" s="27"/>
      <c r="F219" s="27"/>
      <c r="G219" s="27"/>
      <c r="H219" s="27"/>
      <c r="I219" s="19"/>
      <c r="J219" s="19"/>
      <c r="K219" s="27"/>
      <c r="L219" s="19"/>
      <c r="M219" s="30"/>
      <c r="N219" s="3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26">
        <v>46228.0</v>
      </c>
      <c r="B220" s="19"/>
      <c r="C220" s="27"/>
      <c r="D220" s="19"/>
      <c r="E220" s="27"/>
      <c r="F220" s="27"/>
      <c r="G220" s="27"/>
      <c r="H220" s="27"/>
      <c r="I220" s="27"/>
      <c r="J220" s="27"/>
      <c r="K220" s="19"/>
      <c r="L220" s="27"/>
      <c r="M220" s="30"/>
      <c r="N220" s="3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26">
        <v>46229.0</v>
      </c>
      <c r="B221" s="19"/>
      <c r="C221" s="27"/>
      <c r="D221" s="19"/>
      <c r="E221" s="27"/>
      <c r="F221" s="27"/>
      <c r="G221" s="27"/>
      <c r="H221" s="27"/>
      <c r="I221" s="27"/>
      <c r="J221" s="19"/>
      <c r="K221" s="19"/>
      <c r="L221" s="19"/>
      <c r="M221" s="30"/>
      <c r="N221" s="3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26">
        <v>46230.0</v>
      </c>
      <c r="B222" s="19"/>
      <c r="C222" s="27"/>
      <c r="D222" s="19"/>
      <c r="E222" s="19"/>
      <c r="F222" s="27"/>
      <c r="G222" s="27"/>
      <c r="H222" s="27"/>
      <c r="I222" s="27"/>
      <c r="J222" s="19"/>
      <c r="K222" s="19"/>
      <c r="L222" s="19"/>
      <c r="M222" s="30"/>
      <c r="N222" s="3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26">
        <v>46231.0</v>
      </c>
      <c r="B223" s="19"/>
      <c r="C223" s="27"/>
      <c r="D223" s="19"/>
      <c r="E223" s="19"/>
      <c r="F223" s="27"/>
      <c r="G223" s="27"/>
      <c r="H223" s="27"/>
      <c r="I223" s="27"/>
      <c r="J223" s="19"/>
      <c r="K223" s="19"/>
      <c r="L223" s="27"/>
      <c r="M223" s="30"/>
      <c r="N223" s="3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26">
        <v>46232.0</v>
      </c>
      <c r="B224" s="19"/>
      <c r="C224" s="27"/>
      <c r="D224" s="19"/>
      <c r="E224" s="19"/>
      <c r="F224" s="27"/>
      <c r="G224" s="27"/>
      <c r="H224" s="27"/>
      <c r="I224" s="27"/>
      <c r="J224" s="19"/>
      <c r="K224" s="19"/>
      <c r="L224" s="27"/>
      <c r="M224" s="30"/>
      <c r="N224" s="3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26">
        <v>46233.0</v>
      </c>
      <c r="B225" s="19"/>
      <c r="C225" s="27"/>
      <c r="D225" s="19"/>
      <c r="E225" s="19"/>
      <c r="F225" s="27"/>
      <c r="G225" s="27"/>
      <c r="H225" s="27"/>
      <c r="I225" s="27"/>
      <c r="J225" s="19"/>
      <c r="K225" s="19"/>
      <c r="L225" s="27"/>
      <c r="M225" s="30"/>
      <c r="N225" s="3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26">
        <v>46234.0</v>
      </c>
      <c r="B226" s="19"/>
      <c r="C226" s="27"/>
      <c r="D226" s="19"/>
      <c r="E226" s="19"/>
      <c r="F226" s="19"/>
      <c r="G226" s="27"/>
      <c r="H226" s="27"/>
      <c r="I226" s="27"/>
      <c r="J226" s="19"/>
      <c r="K226" s="19"/>
      <c r="L226" s="19"/>
      <c r="M226" s="30"/>
      <c r="N226" s="3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26">
        <v>46235.0</v>
      </c>
      <c r="B227" s="19"/>
      <c r="C227" s="27"/>
      <c r="D227" s="19"/>
      <c r="E227" s="19"/>
      <c r="F227" s="27"/>
      <c r="G227" s="27"/>
      <c r="H227" s="27"/>
      <c r="I227" s="27"/>
      <c r="J227" s="19"/>
      <c r="K227" s="19"/>
      <c r="L227" s="27"/>
      <c r="M227" s="30"/>
      <c r="N227" s="3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26">
        <v>46236.0</v>
      </c>
      <c r="B228" s="19"/>
      <c r="C228" s="27"/>
      <c r="D228" s="19"/>
      <c r="E228" s="27"/>
      <c r="F228" s="27"/>
      <c r="G228" s="27"/>
      <c r="H228" s="19"/>
      <c r="I228" s="27"/>
      <c r="J228" s="19"/>
      <c r="K228" s="27"/>
      <c r="L228" s="27"/>
      <c r="M228" s="30"/>
      <c r="N228" s="3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26">
        <v>46237.0</v>
      </c>
      <c r="B229" s="19"/>
      <c r="C229" s="27"/>
      <c r="D229" s="19"/>
      <c r="E229" s="27"/>
      <c r="F229" s="27"/>
      <c r="G229" s="27"/>
      <c r="H229" s="27"/>
      <c r="I229" s="27"/>
      <c r="J229" s="19"/>
      <c r="K229" s="19"/>
      <c r="L229" s="19"/>
      <c r="M229" s="30"/>
      <c r="N229" s="3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26">
        <v>46238.0</v>
      </c>
      <c r="B230" s="19"/>
      <c r="C230" s="27"/>
      <c r="D230" s="19"/>
      <c r="E230" s="19"/>
      <c r="F230" s="27"/>
      <c r="G230" s="27"/>
      <c r="H230" s="27"/>
      <c r="I230" s="27"/>
      <c r="J230" s="19"/>
      <c r="K230" s="19"/>
      <c r="L230" s="27"/>
      <c r="M230" s="30"/>
      <c r="N230" s="3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26">
        <v>46239.0</v>
      </c>
      <c r="B231" s="19"/>
      <c r="C231" s="27"/>
      <c r="D231" s="19"/>
      <c r="E231" s="19"/>
      <c r="F231" s="27"/>
      <c r="G231" s="27"/>
      <c r="H231" s="27"/>
      <c r="I231" s="27"/>
      <c r="J231" s="19"/>
      <c r="K231" s="19"/>
      <c r="L231" s="27"/>
      <c r="M231" s="30"/>
      <c r="N231" s="3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26">
        <v>46240.0</v>
      </c>
      <c r="B232" s="19"/>
      <c r="C232" s="27"/>
      <c r="D232" s="19"/>
      <c r="E232" s="27"/>
      <c r="F232" s="27"/>
      <c r="G232" s="27"/>
      <c r="H232" s="27"/>
      <c r="I232" s="27"/>
      <c r="J232" s="19"/>
      <c r="K232" s="19"/>
      <c r="L232" s="27"/>
      <c r="M232" s="30"/>
      <c r="N232" s="3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26">
        <v>46241.0</v>
      </c>
      <c r="B233" s="19"/>
      <c r="C233" s="27"/>
      <c r="D233" s="19"/>
      <c r="E233" s="27"/>
      <c r="F233" s="27"/>
      <c r="H233" s="27"/>
      <c r="I233" s="27"/>
      <c r="J233" s="19"/>
      <c r="K233" s="27"/>
      <c r="L233" s="27"/>
      <c r="M233" s="30"/>
      <c r="N233" s="3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26">
        <v>46242.0</v>
      </c>
      <c r="B234" s="19"/>
      <c r="C234" s="27"/>
      <c r="D234" s="19"/>
      <c r="E234" s="19"/>
      <c r="F234" s="27"/>
      <c r="G234" s="27"/>
      <c r="H234" s="27"/>
      <c r="I234" s="27"/>
      <c r="J234" s="19"/>
      <c r="K234" s="19"/>
      <c r="L234" s="27"/>
      <c r="M234" s="30"/>
      <c r="N234" s="3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26">
        <v>46243.0</v>
      </c>
      <c r="B235" s="19"/>
      <c r="C235" s="27"/>
      <c r="D235" s="19"/>
      <c r="E235" s="27"/>
      <c r="F235" s="27"/>
      <c r="G235" s="27"/>
      <c r="H235" s="27"/>
      <c r="I235" s="27"/>
      <c r="J235" s="19"/>
      <c r="K235" s="19"/>
      <c r="L235" s="27"/>
      <c r="M235" s="30"/>
      <c r="N235" s="3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26">
        <v>46244.0</v>
      </c>
      <c r="B236" s="19"/>
      <c r="C236" s="27"/>
      <c r="D236" s="19"/>
      <c r="E236" s="27"/>
      <c r="F236" s="27"/>
      <c r="G236" s="27"/>
      <c r="H236" s="27"/>
      <c r="I236" s="27"/>
      <c r="J236" s="19"/>
      <c r="K236" s="27"/>
      <c r="L236" s="19"/>
      <c r="M236" s="30"/>
      <c r="N236" s="3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26">
        <v>46245.0</v>
      </c>
      <c r="B237" s="19"/>
      <c r="C237" s="27"/>
      <c r="D237" s="19"/>
      <c r="E237" s="27"/>
      <c r="F237" s="27"/>
      <c r="G237" s="27"/>
      <c r="H237" s="27"/>
      <c r="I237" s="27"/>
      <c r="J237" s="19"/>
      <c r="K237" s="19"/>
      <c r="L237" s="27"/>
      <c r="M237" s="30"/>
      <c r="N237" s="3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26">
        <v>46246.0</v>
      </c>
      <c r="B238" s="19"/>
      <c r="C238" s="27"/>
      <c r="D238" s="19"/>
      <c r="E238" s="27"/>
      <c r="F238" s="27"/>
      <c r="G238" s="27"/>
      <c r="H238" s="27"/>
      <c r="I238" s="27"/>
      <c r="J238" s="19"/>
      <c r="K238" s="27"/>
      <c r="L238" s="27"/>
      <c r="M238" s="30"/>
      <c r="N238" s="3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26">
        <v>46247.0</v>
      </c>
      <c r="B239" s="19"/>
      <c r="C239" s="27"/>
      <c r="D239" s="19"/>
      <c r="E239" s="19"/>
      <c r="F239" s="27"/>
      <c r="G239" s="27"/>
      <c r="H239" s="27"/>
      <c r="I239" s="27"/>
      <c r="J239" s="19"/>
      <c r="K239" s="19"/>
      <c r="L239" s="19"/>
      <c r="M239" s="30"/>
      <c r="N239" s="3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26">
        <v>46248.0</v>
      </c>
      <c r="B240" s="19"/>
      <c r="C240" s="27"/>
      <c r="D240" s="19"/>
      <c r="E240" s="27"/>
      <c r="F240" s="27"/>
      <c r="G240" s="27"/>
      <c r="H240" s="27"/>
      <c r="I240" s="27"/>
      <c r="J240" s="19"/>
      <c r="K240" s="19"/>
      <c r="L240" s="27"/>
      <c r="M240" s="30"/>
      <c r="N240" s="3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26">
        <v>46249.0</v>
      </c>
      <c r="B241" s="19"/>
      <c r="C241" s="27"/>
      <c r="D241" s="19"/>
      <c r="E241" s="27"/>
      <c r="F241" s="27"/>
      <c r="G241" s="27"/>
      <c r="H241" s="27"/>
      <c r="I241" s="27"/>
      <c r="J241" s="19"/>
      <c r="K241" s="19"/>
      <c r="L241" s="27"/>
      <c r="M241" s="30"/>
      <c r="N241" s="3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26">
        <v>46250.0</v>
      </c>
      <c r="B242" s="19"/>
      <c r="C242" s="27"/>
      <c r="D242" s="19"/>
      <c r="E242" s="27"/>
      <c r="F242" s="27"/>
      <c r="G242" s="27"/>
      <c r="H242" s="27"/>
      <c r="I242" s="19"/>
      <c r="J242" s="19"/>
      <c r="K242" s="27"/>
      <c r="L242" s="27"/>
      <c r="M242" s="30"/>
      <c r="N242" s="3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26">
        <v>46251.0</v>
      </c>
      <c r="B243" s="19"/>
      <c r="C243" s="27"/>
      <c r="D243" s="19"/>
      <c r="E243" s="19"/>
      <c r="F243" s="27"/>
      <c r="G243" s="27"/>
      <c r="H243" s="27"/>
      <c r="I243" s="27"/>
      <c r="J243" s="19"/>
      <c r="K243" s="19"/>
      <c r="L243" s="19"/>
      <c r="M243" s="30"/>
      <c r="N243" s="3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26">
        <v>46252.0</v>
      </c>
      <c r="B244" s="19"/>
      <c r="C244" s="27"/>
      <c r="D244" s="19"/>
      <c r="E244" s="27"/>
      <c r="F244" s="27"/>
      <c r="G244" s="27"/>
      <c r="H244" s="27"/>
      <c r="I244" s="27"/>
      <c r="J244" s="27"/>
      <c r="K244" s="19"/>
      <c r="L244" s="27"/>
      <c r="M244" s="30"/>
      <c r="N244" s="3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26">
        <v>46253.0</v>
      </c>
      <c r="B245" s="19"/>
      <c r="C245" s="27"/>
      <c r="D245" s="19"/>
      <c r="E245" s="19"/>
      <c r="F245" s="27"/>
      <c r="G245" s="27"/>
      <c r="H245" s="27"/>
      <c r="I245" s="27"/>
      <c r="J245" s="19"/>
      <c r="K245" s="19"/>
      <c r="L245" s="27"/>
      <c r="M245" s="30"/>
      <c r="N245" s="3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26">
        <v>46254.0</v>
      </c>
      <c r="B246" s="19"/>
      <c r="C246" s="27"/>
      <c r="D246" s="19"/>
      <c r="E246" s="27"/>
      <c r="F246" s="19"/>
      <c r="G246" s="27"/>
      <c r="H246" s="27"/>
      <c r="I246" s="19"/>
      <c r="J246" s="19"/>
      <c r="K246" s="19"/>
      <c r="L246" s="27"/>
      <c r="M246" s="30"/>
      <c r="N246" s="3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26">
        <v>46255.0</v>
      </c>
      <c r="B247" s="19"/>
      <c r="C247" s="27"/>
      <c r="D247" s="19"/>
      <c r="E247" s="27"/>
      <c r="F247" s="27"/>
      <c r="G247" s="27"/>
      <c r="H247" s="27"/>
      <c r="I247" s="27"/>
      <c r="J247" s="19"/>
      <c r="K247" s="19"/>
      <c r="L247" s="19"/>
      <c r="M247" s="30"/>
      <c r="N247" s="3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26">
        <v>46256.0</v>
      </c>
      <c r="B248" s="19"/>
      <c r="C248" s="27"/>
      <c r="D248" s="19"/>
      <c r="E248" s="27"/>
      <c r="F248" s="27"/>
      <c r="G248" s="27"/>
      <c r="H248" s="27"/>
      <c r="I248" s="27"/>
      <c r="J248" s="19"/>
      <c r="K248" s="19"/>
      <c r="L248" s="27"/>
      <c r="M248" s="30"/>
      <c r="N248" s="3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26">
        <v>46257.0</v>
      </c>
      <c r="B249" s="19"/>
      <c r="C249" s="27"/>
      <c r="D249" s="19"/>
      <c r="E249" s="19"/>
      <c r="F249" s="27"/>
      <c r="G249" s="19"/>
      <c r="H249" s="27"/>
      <c r="I249" s="19"/>
      <c r="J249" s="19"/>
      <c r="K249" s="19"/>
      <c r="L249" s="27"/>
      <c r="M249" s="30"/>
      <c r="N249" s="3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26">
        <v>46258.0</v>
      </c>
      <c r="B250" s="19"/>
      <c r="C250" s="27"/>
      <c r="D250" s="19"/>
      <c r="E250" s="19"/>
      <c r="F250" s="27"/>
      <c r="H250" s="27"/>
      <c r="I250" s="27"/>
      <c r="J250" s="27"/>
      <c r="K250" s="19"/>
      <c r="L250" s="19"/>
      <c r="M250" s="30"/>
      <c r="N250" s="3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26">
        <v>46259.0</v>
      </c>
      <c r="B251" s="19"/>
      <c r="C251" s="27"/>
      <c r="D251" s="19"/>
      <c r="E251" s="27"/>
      <c r="F251" s="27"/>
      <c r="G251" s="27"/>
      <c r="H251" s="27"/>
      <c r="I251" s="27"/>
      <c r="J251" s="19"/>
      <c r="K251" s="27"/>
      <c r="L251" s="27"/>
      <c r="M251" s="30"/>
      <c r="N251" s="3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26">
        <v>46260.0</v>
      </c>
      <c r="B252" s="19"/>
      <c r="C252" s="27"/>
      <c r="D252" s="19"/>
      <c r="E252" s="27"/>
      <c r="F252" s="19"/>
      <c r="G252" s="27"/>
      <c r="H252" s="27"/>
      <c r="I252" s="27"/>
      <c r="J252" s="19"/>
      <c r="K252" s="19"/>
      <c r="L252" s="27"/>
      <c r="M252" s="30"/>
      <c r="N252" s="3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26">
        <v>46261.0</v>
      </c>
      <c r="B253" s="19"/>
      <c r="C253" s="27"/>
      <c r="D253" s="19"/>
      <c r="E253" s="19"/>
      <c r="F253" s="27"/>
      <c r="G253" s="27"/>
      <c r="H253" s="27"/>
      <c r="I253" s="19"/>
      <c r="J253" s="19"/>
      <c r="K253" s="19"/>
      <c r="L253" s="19"/>
      <c r="M253" s="30"/>
      <c r="N253" s="3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26">
        <v>46262.0</v>
      </c>
      <c r="B254" s="19"/>
      <c r="C254" s="27"/>
      <c r="D254" s="19"/>
      <c r="E254" s="27"/>
      <c r="F254" s="19"/>
      <c r="G254" s="27"/>
      <c r="H254" s="19"/>
      <c r="I254" s="27"/>
      <c r="J254" s="19"/>
      <c r="K254" s="19"/>
      <c r="L254" s="27"/>
      <c r="M254" s="30"/>
      <c r="N254" s="3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26">
        <v>46263.0</v>
      </c>
      <c r="B255" s="19"/>
      <c r="C255" s="27"/>
      <c r="D255" s="19"/>
      <c r="E255" s="19"/>
      <c r="F255" s="27"/>
      <c r="G255" s="19"/>
      <c r="H255" s="27"/>
      <c r="I255" s="27"/>
      <c r="J255" s="27"/>
      <c r="K255" s="19"/>
      <c r="L255" s="27"/>
      <c r="M255" s="30"/>
      <c r="N255" s="3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26">
        <v>46264.0</v>
      </c>
      <c r="B256" s="19"/>
      <c r="C256" s="27"/>
      <c r="D256" s="19"/>
      <c r="E256" s="19"/>
      <c r="F256" s="27"/>
      <c r="G256" s="19"/>
      <c r="H256" s="27"/>
      <c r="I256" s="27"/>
      <c r="J256" s="19"/>
      <c r="K256" s="19"/>
      <c r="L256" s="27"/>
      <c r="M256" s="30"/>
      <c r="N256" s="3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26">
        <v>46265.0</v>
      </c>
      <c r="B257" s="19"/>
      <c r="C257" s="27"/>
      <c r="D257" s="19"/>
      <c r="E257" s="19"/>
      <c r="F257" s="27"/>
      <c r="G257" s="27"/>
      <c r="H257" s="27"/>
      <c r="I257" s="27"/>
      <c r="J257" s="19"/>
      <c r="K257" s="19"/>
      <c r="L257" s="27"/>
      <c r="M257" s="30"/>
      <c r="N257" s="3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26">
        <v>46266.0</v>
      </c>
      <c r="B258" s="19"/>
      <c r="C258" s="27"/>
      <c r="D258" s="19"/>
      <c r="E258" s="19"/>
      <c r="F258" s="27"/>
      <c r="G258" s="27"/>
      <c r="H258" s="27"/>
      <c r="I258" s="27"/>
      <c r="J258" s="19"/>
      <c r="K258" s="19"/>
      <c r="L258" s="27"/>
      <c r="M258" s="30"/>
      <c r="N258" s="3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26">
        <v>46267.0</v>
      </c>
      <c r="B259" s="19"/>
      <c r="C259" s="27"/>
      <c r="D259" s="19"/>
      <c r="E259" s="19"/>
      <c r="F259" s="27"/>
      <c r="G259" s="27"/>
      <c r="H259" s="27"/>
      <c r="I259" s="19"/>
      <c r="J259" s="19"/>
      <c r="K259" s="19"/>
      <c r="L259" s="27"/>
      <c r="M259" s="30"/>
      <c r="N259" s="3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26">
        <v>46268.0</v>
      </c>
      <c r="B260" s="19"/>
      <c r="C260" s="27"/>
      <c r="D260" s="19"/>
      <c r="E260" s="19"/>
      <c r="F260" s="19"/>
      <c r="G260" s="27"/>
      <c r="H260" s="19"/>
      <c r="I260" s="27"/>
      <c r="J260" s="19"/>
      <c r="K260" s="27"/>
      <c r="L260" s="27"/>
      <c r="M260" s="30"/>
      <c r="N260" s="3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26">
        <v>46269.0</v>
      </c>
      <c r="B261" s="19"/>
      <c r="C261" s="27"/>
      <c r="D261" s="19"/>
      <c r="E261" s="27"/>
      <c r="F261" s="27"/>
      <c r="G261" s="27"/>
      <c r="H261" s="27"/>
      <c r="I261" s="27"/>
      <c r="J261" s="19"/>
      <c r="K261" s="19"/>
      <c r="L261" s="19"/>
      <c r="M261" s="30"/>
      <c r="N261" s="3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26">
        <v>46270.0</v>
      </c>
      <c r="B262" s="19"/>
      <c r="C262" s="27"/>
      <c r="D262" s="19"/>
      <c r="E262" s="19"/>
      <c r="F262" s="27"/>
      <c r="G262" s="27"/>
      <c r="H262" s="19"/>
      <c r="I262" s="27"/>
      <c r="J262" s="27"/>
      <c r="K262" s="19"/>
      <c r="L262" s="27"/>
      <c r="M262" s="30"/>
      <c r="N262" s="3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26">
        <v>46271.0</v>
      </c>
      <c r="B263" s="19"/>
      <c r="C263" s="27"/>
      <c r="D263" s="19"/>
      <c r="E263" s="27"/>
      <c r="F263" s="27"/>
      <c r="G263" s="27"/>
      <c r="H263" s="27"/>
      <c r="I263" s="27"/>
      <c r="J263" s="19"/>
      <c r="K263" s="19"/>
      <c r="L263" s="2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26">
        <v>46272.0</v>
      </c>
      <c r="B264" s="19"/>
      <c r="C264" s="27"/>
      <c r="D264" s="19"/>
      <c r="E264" s="19"/>
      <c r="F264" s="27"/>
      <c r="G264" s="27"/>
      <c r="H264" s="27"/>
      <c r="I264" s="27"/>
      <c r="J264" s="19"/>
      <c r="K264" s="27"/>
      <c r="L264" s="1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26">
        <v>46273.0</v>
      </c>
      <c r="B265" s="19"/>
      <c r="C265" s="27"/>
      <c r="D265" s="19"/>
      <c r="E265" s="27"/>
      <c r="F265" s="27"/>
      <c r="G265" s="27"/>
      <c r="H265" s="27"/>
      <c r="I265" s="27"/>
      <c r="J265" s="19"/>
      <c r="K265" s="19"/>
      <c r="L265" s="2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26">
        <v>46274.0</v>
      </c>
      <c r="B266" s="19"/>
      <c r="C266" s="27"/>
      <c r="D266" s="19"/>
      <c r="E266" s="27"/>
      <c r="F266" s="19"/>
      <c r="H266" s="27"/>
      <c r="I266" s="19"/>
      <c r="J266" s="19"/>
      <c r="K266" s="19"/>
      <c r="L266" s="2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26">
        <v>46275.0</v>
      </c>
      <c r="B267" s="19"/>
      <c r="C267" s="27"/>
      <c r="D267" s="19"/>
      <c r="E267" s="27"/>
      <c r="F267" s="27"/>
      <c r="G267" s="27"/>
      <c r="H267" s="27"/>
      <c r="I267" s="27"/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26">
        <v>46276.0</v>
      </c>
      <c r="B268" s="19"/>
      <c r="C268" s="27"/>
      <c r="D268" s="19"/>
      <c r="E268" s="27"/>
      <c r="F268" s="27"/>
      <c r="G268" s="27"/>
      <c r="H268" s="27"/>
      <c r="I268" s="27"/>
      <c r="J268" s="19"/>
      <c r="K268" s="19"/>
      <c r="L268" s="2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26">
        <v>46277.0</v>
      </c>
      <c r="B269" s="19"/>
      <c r="C269" s="27"/>
      <c r="D269" s="19"/>
      <c r="E269" s="27"/>
      <c r="F269" s="27"/>
      <c r="G269" s="27"/>
      <c r="H269" s="27"/>
      <c r="I269" s="27"/>
      <c r="J269" s="19"/>
      <c r="K269" s="19"/>
      <c r="L269" s="2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26">
        <v>46278.0</v>
      </c>
      <c r="B270" s="19"/>
      <c r="C270" s="27"/>
      <c r="D270" s="19"/>
      <c r="E270" s="27"/>
      <c r="F270" s="27"/>
      <c r="G270" s="27"/>
      <c r="H270" s="27"/>
      <c r="J270" s="19"/>
      <c r="K270" s="19"/>
      <c r="L270" s="2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26">
        <v>46279.0</v>
      </c>
      <c r="B271" s="19"/>
      <c r="C271" s="27"/>
      <c r="D271" s="19"/>
      <c r="E271" s="19"/>
      <c r="F271" s="27"/>
      <c r="G271" s="27"/>
      <c r="H271" s="27"/>
      <c r="I271" s="27"/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26">
        <v>46280.0</v>
      </c>
      <c r="B272" s="19"/>
      <c r="C272" s="27"/>
      <c r="D272" s="19"/>
      <c r="E272" s="19"/>
      <c r="F272" s="27"/>
      <c r="G272" s="27"/>
      <c r="H272" s="27"/>
      <c r="I272" s="27"/>
      <c r="J272" s="19"/>
      <c r="K272" s="19"/>
      <c r="L272" s="2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26">
        <v>46281.0</v>
      </c>
      <c r="B273" s="19"/>
      <c r="C273" s="27"/>
      <c r="D273" s="19"/>
      <c r="E273" s="27"/>
      <c r="F273" s="27"/>
      <c r="G273" s="27"/>
      <c r="H273" s="27"/>
      <c r="I273" s="19"/>
      <c r="J273" s="19"/>
      <c r="K273" s="27"/>
      <c r="L273" s="2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26">
        <v>46282.0</v>
      </c>
      <c r="B274" s="19"/>
      <c r="C274" s="27"/>
      <c r="D274" s="19"/>
      <c r="E274" s="27"/>
      <c r="F274" s="27"/>
      <c r="G274" s="27"/>
      <c r="H274" s="19"/>
      <c r="I274" s="27"/>
      <c r="J274" s="19"/>
      <c r="K274" s="27"/>
      <c r="L274" s="1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26">
        <v>46283.0</v>
      </c>
      <c r="B275" s="19"/>
      <c r="C275" s="27"/>
      <c r="D275" s="19"/>
      <c r="E275" s="19"/>
      <c r="F275" s="27"/>
      <c r="G275" s="27"/>
      <c r="H275" s="27"/>
      <c r="I275" s="27"/>
      <c r="J275" s="19"/>
      <c r="K275" s="27"/>
      <c r="L275" s="2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26">
        <v>46284.0</v>
      </c>
      <c r="B276" s="19"/>
      <c r="C276" s="27"/>
      <c r="D276" s="19"/>
      <c r="E276" s="27"/>
      <c r="F276" s="27"/>
      <c r="G276" s="27"/>
      <c r="H276" s="19"/>
      <c r="I276" s="27"/>
      <c r="J276" s="19"/>
      <c r="K276" s="19"/>
      <c r="L276" s="2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26">
        <v>46285.0</v>
      </c>
      <c r="B277" s="19"/>
      <c r="C277" s="27"/>
      <c r="D277" s="19"/>
      <c r="E277" s="27"/>
      <c r="F277" s="27"/>
      <c r="G277" s="27"/>
      <c r="H277" s="27"/>
      <c r="I277" s="27"/>
      <c r="J277" s="19"/>
      <c r="K277" s="19"/>
      <c r="L277" s="2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26">
        <v>46286.0</v>
      </c>
      <c r="B278" s="19"/>
      <c r="C278" s="27"/>
      <c r="D278" s="19"/>
      <c r="E278" s="19"/>
      <c r="F278" s="27"/>
      <c r="G278" s="27"/>
      <c r="H278" s="27"/>
      <c r="I278" s="27"/>
      <c r="J278" s="19"/>
      <c r="K278" s="19"/>
      <c r="L278" s="1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26">
        <v>46287.0</v>
      </c>
      <c r="B279" s="19"/>
      <c r="C279" s="27"/>
      <c r="D279" s="19"/>
      <c r="E279" s="19"/>
      <c r="F279" s="27"/>
      <c r="G279" s="27"/>
      <c r="H279" s="27"/>
      <c r="I279" s="27"/>
      <c r="J279" s="19"/>
      <c r="K279" s="19"/>
      <c r="L279" s="2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26">
        <v>46288.0</v>
      </c>
      <c r="B280" s="19"/>
      <c r="C280" s="27"/>
      <c r="D280" s="19"/>
      <c r="E280" s="19"/>
      <c r="F280" s="27"/>
      <c r="G280" s="27"/>
      <c r="H280" s="19"/>
      <c r="I280" s="27"/>
      <c r="J280" s="19"/>
      <c r="K280" s="19"/>
      <c r="L280" s="2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26">
        <v>46289.0</v>
      </c>
      <c r="B281" s="19"/>
      <c r="C281" s="27"/>
      <c r="D281" s="19"/>
      <c r="E281" s="27"/>
      <c r="F281" s="19"/>
      <c r="G281" s="27"/>
      <c r="H281" s="27"/>
      <c r="I281" s="27"/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26">
        <v>46290.0</v>
      </c>
      <c r="B282" s="19"/>
      <c r="C282" s="27"/>
      <c r="D282" s="19"/>
      <c r="E282" s="27"/>
      <c r="F282" s="27"/>
      <c r="G282" s="27"/>
      <c r="H282" s="27"/>
      <c r="I282" s="27"/>
      <c r="J282" s="19"/>
      <c r="K282" s="19"/>
      <c r="L282" s="2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26">
        <v>46291.0</v>
      </c>
      <c r="B283" s="19"/>
      <c r="C283" s="27"/>
      <c r="D283" s="19"/>
      <c r="E283" s="19"/>
      <c r="F283" s="27"/>
      <c r="G283" s="27"/>
      <c r="H283" s="27"/>
      <c r="I283" s="27"/>
      <c r="J283" s="19"/>
      <c r="K283" s="19"/>
      <c r="L283" s="2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26">
        <v>46292.0</v>
      </c>
      <c r="B284" s="19"/>
      <c r="C284" s="27"/>
      <c r="D284" s="19"/>
      <c r="E284" s="27"/>
      <c r="F284" s="27"/>
      <c r="G284" s="19"/>
      <c r="H284" s="27"/>
      <c r="I284" s="19"/>
      <c r="J284" s="19"/>
      <c r="K284" s="19"/>
      <c r="L284" s="2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26">
        <v>46293.0</v>
      </c>
      <c r="B285" s="19"/>
      <c r="C285" s="27"/>
      <c r="D285" s="19"/>
      <c r="E285" s="27"/>
      <c r="F285" s="27"/>
      <c r="G285" s="27"/>
      <c r="H285" s="27"/>
      <c r="I285" s="27"/>
      <c r="J285" s="27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26">
        <v>46294.0</v>
      </c>
      <c r="B286" s="19"/>
      <c r="C286" s="27"/>
      <c r="D286" s="19"/>
      <c r="E286" s="27"/>
      <c r="F286" s="27"/>
      <c r="G286" s="27"/>
      <c r="H286" s="27"/>
      <c r="I286" s="27"/>
      <c r="J286" s="19"/>
      <c r="K286" s="19"/>
      <c r="L286" s="2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26">
        <v>46295.0</v>
      </c>
      <c r="B287" s="19"/>
      <c r="C287" s="27"/>
      <c r="D287" s="19"/>
      <c r="E287" s="27"/>
      <c r="F287" s="27"/>
      <c r="G287" s="27"/>
      <c r="H287" s="27"/>
      <c r="I287" s="27"/>
      <c r="J287" s="19"/>
      <c r="K287" s="19"/>
      <c r="L287" s="2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26">
        <v>46296.0</v>
      </c>
      <c r="B288" s="19"/>
      <c r="C288" s="27"/>
      <c r="D288" s="19"/>
      <c r="E288" s="27"/>
      <c r="F288" s="27"/>
      <c r="G288" s="27"/>
      <c r="H288" s="19"/>
      <c r="I288" s="27"/>
      <c r="J288" s="19"/>
      <c r="K288" s="27"/>
      <c r="L288" s="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26">
        <v>46297.0</v>
      </c>
      <c r="B289" s="19"/>
      <c r="C289" s="27"/>
      <c r="D289" s="19"/>
      <c r="E289" s="27"/>
      <c r="F289" s="27"/>
      <c r="G289" s="19"/>
      <c r="H289" s="19"/>
      <c r="I289" s="19"/>
      <c r="J289" s="19"/>
      <c r="K289" s="19"/>
      <c r="L289" s="2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26">
        <v>46298.0</v>
      </c>
      <c r="B290" s="19"/>
      <c r="C290" s="27"/>
      <c r="D290" s="19"/>
      <c r="E290" s="19"/>
      <c r="F290" s="27"/>
      <c r="G290" s="27"/>
      <c r="H290" s="27"/>
      <c r="I290" s="19"/>
      <c r="J290" s="19"/>
      <c r="K290" s="19"/>
      <c r="L290" s="2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26">
        <v>46299.0</v>
      </c>
      <c r="B291" s="19"/>
      <c r="C291" s="27"/>
      <c r="D291" s="19"/>
      <c r="E291" s="19"/>
      <c r="F291" s="27"/>
      <c r="G291" s="27"/>
      <c r="H291" s="27"/>
      <c r="I291" s="19"/>
      <c r="J291" s="19"/>
      <c r="K291" s="19"/>
      <c r="L291" s="2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26">
        <v>46300.0</v>
      </c>
      <c r="B292" s="19"/>
      <c r="C292" s="27"/>
      <c r="D292" s="19"/>
      <c r="E292" s="19"/>
      <c r="F292" s="27"/>
      <c r="G292" s="27"/>
      <c r="H292" s="27"/>
      <c r="I292" s="27"/>
      <c r="J292" s="19"/>
      <c r="K292" s="27"/>
      <c r="L292" s="1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26">
        <v>46301.0</v>
      </c>
      <c r="B293" s="19"/>
      <c r="C293" s="27"/>
      <c r="D293" s="19"/>
      <c r="E293" s="27"/>
      <c r="F293" s="27"/>
      <c r="G293" s="27"/>
      <c r="H293" s="27"/>
      <c r="I293" s="27"/>
      <c r="J293" s="19"/>
      <c r="K293" s="27"/>
      <c r="L293" s="27"/>
      <c r="M293" s="8"/>
      <c r="N293" s="8"/>
      <c r="O293" s="29"/>
      <c r="P293" s="29"/>
      <c r="Q293" s="29"/>
      <c r="R293" s="29"/>
      <c r="S293" s="29"/>
      <c r="T293" s="29"/>
      <c r="U293" s="29"/>
      <c r="V293" s="29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26">
        <v>46302.0</v>
      </c>
      <c r="B294" s="19"/>
      <c r="C294" s="27"/>
      <c r="D294" s="19"/>
      <c r="E294" s="27"/>
      <c r="F294" s="27"/>
      <c r="G294" s="27"/>
      <c r="H294" s="27"/>
      <c r="I294" s="27"/>
      <c r="J294" s="19"/>
      <c r="K294" s="27"/>
      <c r="L294" s="2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26">
        <v>46303.0</v>
      </c>
      <c r="B295" s="19"/>
      <c r="C295" s="27"/>
      <c r="D295" s="19"/>
      <c r="E295" s="27"/>
      <c r="F295" s="27"/>
      <c r="G295" s="27"/>
      <c r="H295" s="27"/>
      <c r="I295" s="27"/>
      <c r="J295" s="19"/>
      <c r="K295" s="19"/>
      <c r="L295" s="2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26">
        <v>46304.0</v>
      </c>
      <c r="B296" s="19"/>
      <c r="C296" s="27"/>
      <c r="D296" s="19"/>
      <c r="E296" s="19"/>
      <c r="F296" s="27"/>
      <c r="G296" s="27"/>
      <c r="I296" s="27"/>
      <c r="J296" s="19"/>
      <c r="K296" s="19"/>
      <c r="L296" s="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26">
        <v>46305.0</v>
      </c>
      <c r="B297" s="19"/>
      <c r="C297" s="27"/>
      <c r="D297" s="19"/>
      <c r="E297" s="27"/>
      <c r="F297" s="27"/>
      <c r="G297" s="27"/>
      <c r="I297" s="27"/>
      <c r="J297" s="19"/>
      <c r="K297" s="19"/>
      <c r="L297" s="2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26">
        <v>46306.0</v>
      </c>
      <c r="B298" s="19"/>
      <c r="C298" s="27"/>
      <c r="D298" s="19"/>
      <c r="E298" s="27"/>
      <c r="F298" s="27"/>
      <c r="G298" s="27"/>
      <c r="H298" s="27"/>
      <c r="I298" s="19"/>
      <c r="J298" s="19"/>
      <c r="K298" s="19"/>
      <c r="L298" s="2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26">
        <v>46307.0</v>
      </c>
      <c r="B299" s="19"/>
      <c r="C299" s="27"/>
      <c r="D299" s="19"/>
      <c r="E299" s="27"/>
      <c r="F299" s="27"/>
      <c r="G299" s="27"/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26">
        <v>46308.0</v>
      </c>
      <c r="B300" s="19"/>
      <c r="C300" s="27"/>
      <c r="D300" s="19"/>
      <c r="E300" s="27"/>
      <c r="F300" s="27"/>
      <c r="G300" s="27"/>
      <c r="I300" s="19"/>
      <c r="J300" s="19"/>
      <c r="K300" s="19"/>
      <c r="L300" s="2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26">
        <v>46309.0</v>
      </c>
      <c r="B301" s="19"/>
      <c r="C301" s="27"/>
      <c r="D301" s="19"/>
      <c r="E301" s="27"/>
      <c r="F301" s="27"/>
      <c r="G301" s="27"/>
      <c r="H301" s="19"/>
      <c r="I301" s="27"/>
      <c r="J301" s="19"/>
      <c r="K301" s="19"/>
      <c r="L301" s="2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26">
        <v>46310.0</v>
      </c>
      <c r="B302" s="19"/>
      <c r="C302" s="27"/>
      <c r="D302" s="19"/>
      <c r="E302" s="27"/>
      <c r="F302" s="27"/>
      <c r="G302" s="27"/>
      <c r="H302" s="27"/>
      <c r="I302" s="27"/>
      <c r="J302" s="19"/>
      <c r="K302" s="19"/>
      <c r="L302" s="1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26">
        <v>46311.0</v>
      </c>
      <c r="B303" s="19"/>
      <c r="C303" s="27"/>
      <c r="D303" s="19"/>
      <c r="E303" s="27"/>
      <c r="F303" s="27"/>
      <c r="G303" s="27"/>
      <c r="H303" s="19"/>
      <c r="I303" s="27"/>
      <c r="J303" s="19"/>
      <c r="K303" s="19"/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26">
        <v>46312.0</v>
      </c>
      <c r="B304" s="19"/>
      <c r="C304" s="27"/>
      <c r="D304" s="19"/>
      <c r="E304" s="27"/>
      <c r="F304" s="19"/>
      <c r="G304" s="27"/>
      <c r="H304" s="19"/>
      <c r="I304" s="27"/>
      <c r="J304" s="19"/>
      <c r="K304" s="19"/>
      <c r="L304" s="2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26">
        <v>46313.0</v>
      </c>
      <c r="B305" s="19"/>
      <c r="C305" s="27"/>
      <c r="D305" s="19"/>
      <c r="E305" s="19"/>
      <c r="F305" s="27"/>
      <c r="G305" s="27"/>
      <c r="H305" s="27"/>
      <c r="I305" s="27"/>
      <c r="J305" s="19"/>
      <c r="K305" s="19"/>
      <c r="L305" s="2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26">
        <v>46314.0</v>
      </c>
      <c r="B306" s="19"/>
      <c r="C306" s="27"/>
      <c r="D306" s="19"/>
      <c r="E306" s="27"/>
      <c r="F306" s="27"/>
      <c r="G306" s="27"/>
      <c r="H306" s="27"/>
      <c r="I306" s="19"/>
      <c r="J306" s="19"/>
      <c r="K306" s="19"/>
      <c r="L306" s="1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26">
        <v>46315.0</v>
      </c>
      <c r="B307" s="19"/>
      <c r="C307" s="27"/>
      <c r="D307" s="19"/>
      <c r="E307" s="27"/>
      <c r="F307" s="27"/>
      <c r="G307" s="19"/>
      <c r="H307" s="27"/>
      <c r="I307" s="19"/>
      <c r="J307" s="19"/>
      <c r="K307" s="19"/>
      <c r="L307" s="2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26">
        <v>46316.0</v>
      </c>
      <c r="B308" s="19"/>
      <c r="C308" s="27"/>
      <c r="D308" s="19"/>
      <c r="E308" s="19"/>
      <c r="F308" s="27"/>
      <c r="G308" s="27"/>
      <c r="H308" s="19"/>
      <c r="I308" s="27"/>
      <c r="J308" s="19"/>
      <c r="K308" s="27"/>
      <c r="L308" s="2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26">
        <v>46317.0</v>
      </c>
      <c r="B309" s="19"/>
      <c r="C309" s="27"/>
      <c r="D309" s="19"/>
      <c r="E309" s="27"/>
      <c r="F309" s="27"/>
      <c r="G309" s="27"/>
      <c r="H309" s="27"/>
      <c r="I309" s="27"/>
      <c r="J309" s="27"/>
      <c r="K309" s="19"/>
      <c r="L309" s="2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26">
        <v>46318.0</v>
      </c>
      <c r="B310" s="19"/>
      <c r="C310" s="27"/>
      <c r="D310" s="19"/>
      <c r="E310" s="19"/>
      <c r="F310" s="27"/>
      <c r="G310" s="27"/>
      <c r="H310" s="19"/>
      <c r="I310" s="19"/>
      <c r="J310" s="19"/>
      <c r="K310" s="19"/>
      <c r="L310" s="1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26">
        <v>46319.0</v>
      </c>
      <c r="B311" s="19"/>
      <c r="C311" s="27"/>
      <c r="D311" s="19"/>
      <c r="E311" s="27"/>
      <c r="F311" s="27"/>
      <c r="G311" s="27"/>
      <c r="H311" s="19"/>
      <c r="I311" s="27"/>
      <c r="J311" s="19"/>
      <c r="K311" s="27"/>
      <c r="L311" s="2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26">
        <v>46320.0</v>
      </c>
      <c r="B312" s="19"/>
      <c r="C312" s="27"/>
      <c r="D312" s="19"/>
      <c r="E312" s="27"/>
      <c r="F312" s="27"/>
      <c r="G312" s="27"/>
      <c r="H312" s="27"/>
      <c r="I312" s="27"/>
      <c r="J312" s="19"/>
      <c r="K312" s="19"/>
      <c r="L312" s="2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26">
        <v>46321.0</v>
      </c>
      <c r="B313" s="19"/>
      <c r="C313" s="27"/>
      <c r="D313" s="19"/>
      <c r="E313" s="27"/>
      <c r="F313" s="27"/>
      <c r="G313" s="27"/>
      <c r="H313" s="27"/>
      <c r="I313" s="27"/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26">
        <v>46322.0</v>
      </c>
      <c r="B314" s="19"/>
      <c r="C314" s="27"/>
      <c r="D314" s="19"/>
      <c r="E314" s="27"/>
      <c r="F314" s="27"/>
      <c r="G314" s="27"/>
      <c r="H314" s="27"/>
      <c r="I314" s="19"/>
      <c r="J314" s="19"/>
      <c r="K314" s="19"/>
      <c r="L314" s="2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26">
        <v>46323.0</v>
      </c>
      <c r="B315" s="19"/>
      <c r="C315" s="27"/>
      <c r="D315" s="19"/>
      <c r="E315" s="19"/>
      <c r="F315" s="19"/>
      <c r="G315" s="27"/>
      <c r="I315" s="27"/>
      <c r="J315" s="19"/>
      <c r="K315" s="19"/>
      <c r="L315" s="2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26">
        <v>46324.0</v>
      </c>
      <c r="B316" s="19"/>
      <c r="C316" s="27"/>
      <c r="D316" s="19"/>
      <c r="E316" s="27"/>
      <c r="F316" s="27"/>
      <c r="G316" s="27"/>
      <c r="H316" s="19"/>
      <c r="I316" s="27"/>
      <c r="J316" s="19"/>
      <c r="K316" s="19"/>
      <c r="L316" s="1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26">
        <v>46325.0</v>
      </c>
      <c r="B317" s="19"/>
      <c r="C317" s="27"/>
      <c r="D317" s="19"/>
      <c r="E317" s="19"/>
      <c r="F317" s="27"/>
      <c r="G317" s="27"/>
      <c r="H317" s="27"/>
      <c r="I317" s="27"/>
      <c r="J317" s="19"/>
      <c r="K317" s="19"/>
      <c r="L317" s="2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26">
        <v>46326.0</v>
      </c>
      <c r="B318" s="19"/>
      <c r="C318" s="27"/>
      <c r="D318" s="19"/>
      <c r="E318" s="27"/>
      <c r="F318" s="27"/>
      <c r="G318" s="27"/>
      <c r="H318" s="27"/>
      <c r="I318" s="27"/>
      <c r="J318" s="19"/>
      <c r="K318" s="19"/>
      <c r="L318" s="2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26">
        <v>46327.0</v>
      </c>
      <c r="B319" s="19"/>
      <c r="C319" s="27"/>
      <c r="D319" s="19"/>
      <c r="E319" s="27"/>
      <c r="F319" s="27"/>
      <c r="G319" s="27"/>
      <c r="H319" s="19"/>
      <c r="I319" s="27"/>
      <c r="J319" s="19"/>
      <c r="K319" s="19"/>
      <c r="L319" s="2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26">
        <v>46328.0</v>
      </c>
      <c r="B320" s="19"/>
      <c r="C320" s="27"/>
      <c r="D320" s="19"/>
      <c r="E320" s="19"/>
      <c r="F320" s="27"/>
      <c r="G320" s="19"/>
      <c r="H320" s="27"/>
      <c r="I320" s="27"/>
      <c r="J320" s="19"/>
      <c r="K320" s="19"/>
      <c r="L320" s="1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26">
        <v>46329.0</v>
      </c>
      <c r="B321" s="19"/>
      <c r="C321" s="27"/>
      <c r="D321" s="19"/>
      <c r="E321" s="27"/>
      <c r="F321" s="27"/>
      <c r="G321" s="27"/>
      <c r="H321" s="27"/>
      <c r="I321" s="27"/>
      <c r="J321" s="19"/>
      <c r="K321" s="19"/>
      <c r="L321" s="2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26">
        <v>46330.0</v>
      </c>
      <c r="B322" s="19"/>
      <c r="C322" s="27"/>
      <c r="D322" s="19"/>
      <c r="E322" s="27"/>
      <c r="F322" s="27"/>
      <c r="G322" s="27"/>
      <c r="H322" s="27"/>
      <c r="I322" s="27"/>
      <c r="J322" s="19"/>
      <c r="K322" s="27"/>
      <c r="L322" s="2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26">
        <v>46331.0</v>
      </c>
      <c r="B323" s="19"/>
      <c r="C323" s="27"/>
      <c r="D323" s="19"/>
      <c r="E323" s="27"/>
      <c r="F323" s="27"/>
      <c r="G323" s="27"/>
      <c r="H323" s="19"/>
      <c r="I323" s="19"/>
      <c r="J323" s="19"/>
      <c r="K323" s="27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26">
        <v>46332.0</v>
      </c>
      <c r="B324" s="19"/>
      <c r="C324" s="27"/>
      <c r="D324" s="19"/>
      <c r="E324" s="27"/>
      <c r="F324" s="27"/>
      <c r="G324" s="27"/>
      <c r="H324" s="27"/>
      <c r="I324" s="27"/>
      <c r="J324" s="19"/>
      <c r="K324" s="19"/>
      <c r="L324" s="1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26">
        <v>46333.0</v>
      </c>
      <c r="B325" s="19"/>
      <c r="C325" s="27"/>
      <c r="D325" s="19"/>
      <c r="E325" s="27"/>
      <c r="F325" s="27"/>
      <c r="G325" s="27"/>
      <c r="H325" s="27"/>
      <c r="I325" s="27"/>
      <c r="J325" s="19"/>
      <c r="K325" s="19"/>
      <c r="L325" s="2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26">
        <v>46334.0</v>
      </c>
      <c r="B326" s="19"/>
      <c r="C326" s="27"/>
      <c r="D326" s="19"/>
      <c r="E326" s="19"/>
      <c r="F326" s="27"/>
      <c r="G326" s="27"/>
      <c r="H326" s="27"/>
      <c r="I326" s="19"/>
      <c r="J326" s="19"/>
      <c r="K326" s="19"/>
      <c r="L326" s="2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26">
        <v>46335.0</v>
      </c>
      <c r="B327" s="19"/>
      <c r="C327" s="27"/>
      <c r="D327" s="19"/>
      <c r="E327" s="27"/>
      <c r="F327" s="27"/>
      <c r="G327" s="27"/>
      <c r="H327" s="27"/>
      <c r="I327" s="27"/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26">
        <v>46336.0</v>
      </c>
      <c r="B328" s="19"/>
      <c r="C328" s="27"/>
      <c r="D328" s="19"/>
      <c r="E328" s="27"/>
      <c r="F328" s="27"/>
      <c r="G328" s="27"/>
      <c r="H328" s="27"/>
      <c r="I328" s="27"/>
      <c r="J328" s="19"/>
      <c r="K328" s="27"/>
      <c r="L328" s="2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26">
        <v>46337.0</v>
      </c>
      <c r="B329" s="19"/>
      <c r="C329" s="27"/>
      <c r="D329" s="19"/>
      <c r="E329" s="27"/>
      <c r="F329" s="27"/>
      <c r="G329" s="27"/>
      <c r="H329" s="27"/>
      <c r="I329" s="27"/>
      <c r="J329" s="19"/>
      <c r="K329" s="27"/>
      <c r="L329" s="2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26">
        <v>46338.0</v>
      </c>
      <c r="B330" s="19"/>
      <c r="C330" s="27"/>
      <c r="D330" s="19"/>
      <c r="E330" s="19"/>
      <c r="F330" s="27"/>
      <c r="G330" s="27"/>
      <c r="H330" s="19"/>
      <c r="I330" s="27"/>
      <c r="J330" s="19"/>
      <c r="K330" s="27"/>
      <c r="L330" s="2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26">
        <v>46339.0</v>
      </c>
      <c r="B331" s="19"/>
      <c r="C331" s="27"/>
      <c r="D331" s="19"/>
      <c r="E331" s="27"/>
      <c r="F331" s="19"/>
      <c r="G331" s="27"/>
      <c r="H331" s="27"/>
      <c r="I331" s="27"/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26">
        <v>46340.0</v>
      </c>
      <c r="B332" s="19"/>
      <c r="C332" s="27"/>
      <c r="D332" s="19"/>
      <c r="E332" s="27"/>
      <c r="F332" s="27"/>
      <c r="G332" s="27"/>
      <c r="H332" s="27"/>
      <c r="I332" s="19"/>
      <c r="J332" s="19"/>
      <c r="K332" s="19"/>
      <c r="L332" s="2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26">
        <v>46341.0</v>
      </c>
      <c r="B333" s="19"/>
      <c r="C333" s="27"/>
      <c r="D333" s="19"/>
      <c r="E333" s="27"/>
      <c r="F333" s="27"/>
      <c r="G333" s="27"/>
      <c r="H333" s="27"/>
      <c r="I333" s="27"/>
      <c r="K333" s="19"/>
      <c r="L333" s="27"/>
      <c r="M333" s="2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26">
        <v>46342.0</v>
      </c>
      <c r="B334" s="19"/>
      <c r="C334" s="27"/>
      <c r="D334" s="19"/>
      <c r="E334" s="27"/>
      <c r="F334" s="27"/>
      <c r="G334" s="27"/>
      <c r="H334" s="27"/>
      <c r="I334" s="27"/>
      <c r="J334" s="19"/>
      <c r="K334" s="27"/>
      <c r="L334" s="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26">
        <v>46343.0</v>
      </c>
      <c r="B335" s="19"/>
      <c r="C335" s="27"/>
      <c r="D335" s="19"/>
      <c r="E335" s="27"/>
      <c r="F335" s="27"/>
      <c r="G335" s="27"/>
      <c r="H335" s="27"/>
      <c r="I335" s="27"/>
      <c r="J335" s="19"/>
      <c r="K335" s="19"/>
      <c r="L335" s="2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26">
        <v>46344.0</v>
      </c>
      <c r="B336" s="19"/>
      <c r="C336" s="27"/>
      <c r="D336" s="19"/>
      <c r="E336" s="27"/>
      <c r="F336" s="27"/>
      <c r="G336" s="19"/>
      <c r="H336" s="27"/>
      <c r="I336" s="27"/>
      <c r="J336" s="19"/>
      <c r="K336" s="27"/>
      <c r="L336" s="2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26">
        <v>46345.0</v>
      </c>
      <c r="B337" s="19"/>
      <c r="C337" s="27"/>
      <c r="D337" s="19"/>
      <c r="E337" s="27"/>
      <c r="F337" s="27"/>
      <c r="G337" s="27"/>
      <c r="H337" s="27"/>
      <c r="I337" s="27"/>
      <c r="J337" s="19"/>
      <c r="K337" s="19"/>
      <c r="L337" s="2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26">
        <v>46346.0</v>
      </c>
      <c r="B338" s="19"/>
      <c r="C338" s="27"/>
      <c r="D338" s="19"/>
      <c r="E338" s="27"/>
      <c r="F338" s="27"/>
      <c r="G338" s="19"/>
      <c r="H338" s="27"/>
      <c r="I338" s="27"/>
      <c r="J338" s="19"/>
      <c r="K338" s="19"/>
      <c r="L338" s="2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26">
        <v>46347.0</v>
      </c>
      <c r="B339" s="19"/>
      <c r="C339" s="27"/>
      <c r="D339" s="19"/>
      <c r="E339" s="27"/>
      <c r="F339" s="27"/>
      <c r="G339" s="27"/>
      <c r="H339" s="19"/>
      <c r="I339" s="27"/>
      <c r="J339" s="19"/>
      <c r="K339" s="19"/>
      <c r="L339" s="2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26">
        <v>46348.0</v>
      </c>
      <c r="B340" s="19"/>
      <c r="C340" s="27"/>
      <c r="D340" s="19"/>
      <c r="E340" s="19"/>
      <c r="F340" s="27"/>
      <c r="G340" s="27"/>
      <c r="H340" s="27"/>
      <c r="I340" s="27"/>
      <c r="J340" s="19"/>
      <c r="K340" s="19"/>
      <c r="L340" s="2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26">
        <v>46349.0</v>
      </c>
      <c r="B341" s="19"/>
      <c r="C341" s="27"/>
      <c r="D341" s="19"/>
      <c r="E341" s="27"/>
      <c r="F341" s="27"/>
      <c r="G341" s="27"/>
      <c r="H341" s="27"/>
      <c r="I341" s="27"/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26">
        <v>46350.0</v>
      </c>
      <c r="B342" s="19"/>
      <c r="C342" s="27"/>
      <c r="D342" s="19"/>
      <c r="E342" s="27"/>
      <c r="F342" s="27"/>
      <c r="G342" s="27"/>
      <c r="H342" s="27"/>
      <c r="I342" s="27"/>
      <c r="J342" s="19"/>
      <c r="K342" s="27"/>
      <c r="L342" s="2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26">
        <v>46351.0</v>
      </c>
      <c r="B343" s="19"/>
      <c r="C343" s="27"/>
      <c r="D343" s="19"/>
      <c r="E343" s="19"/>
      <c r="F343" s="27"/>
      <c r="G343" s="27"/>
      <c r="H343" s="27"/>
      <c r="I343" s="19"/>
      <c r="J343" s="19"/>
      <c r="K343" s="19"/>
      <c r="L343" s="2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26">
        <v>46352.0</v>
      </c>
      <c r="B344" s="19"/>
      <c r="C344" s="27"/>
      <c r="D344" s="19"/>
      <c r="E344" s="27"/>
      <c r="F344" s="27"/>
      <c r="H344" s="27"/>
      <c r="I344" s="27"/>
      <c r="J344" s="19"/>
      <c r="K344" s="19"/>
      <c r="L344" s="1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26">
        <v>46353.0</v>
      </c>
      <c r="B345" s="19"/>
      <c r="C345" s="27"/>
      <c r="D345" s="19"/>
      <c r="E345" s="27"/>
      <c r="F345" s="19"/>
      <c r="G345" s="27"/>
      <c r="H345" s="27"/>
      <c r="I345" s="27"/>
      <c r="J345" s="19"/>
      <c r="K345" s="19"/>
      <c r="L345" s="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26">
        <v>46354.0</v>
      </c>
      <c r="B346" s="19"/>
      <c r="C346" s="27"/>
      <c r="D346" s="19"/>
      <c r="E346" s="27"/>
      <c r="F346" s="27"/>
      <c r="G346" s="27"/>
      <c r="H346" s="27"/>
      <c r="I346" s="27"/>
      <c r="J346" s="19"/>
      <c r="K346" s="19"/>
      <c r="L346" s="2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26">
        <v>46355.0</v>
      </c>
      <c r="B347" s="19"/>
      <c r="C347" s="27"/>
      <c r="D347" s="19"/>
      <c r="E347" s="27"/>
      <c r="F347" s="27"/>
      <c r="G347" s="27"/>
      <c r="H347" s="19"/>
      <c r="I347" s="27"/>
      <c r="J347" s="19"/>
      <c r="K347" s="19"/>
      <c r="L347" s="2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26">
        <v>46356.0</v>
      </c>
      <c r="B348" s="19"/>
      <c r="C348" s="27"/>
      <c r="D348" s="19"/>
      <c r="E348" s="27"/>
      <c r="F348" s="27"/>
      <c r="G348" s="27"/>
      <c r="H348" s="27"/>
      <c r="I348" s="27"/>
      <c r="J348" s="19"/>
      <c r="K348" s="19"/>
      <c r="L348" s="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26">
        <v>46357.0</v>
      </c>
      <c r="B349" s="19"/>
      <c r="C349" s="27"/>
      <c r="D349" s="19"/>
      <c r="E349" s="19"/>
      <c r="F349" s="27"/>
      <c r="G349" s="27"/>
      <c r="H349" s="27"/>
      <c r="I349" s="19"/>
      <c r="J349" s="19"/>
      <c r="K349" s="27"/>
      <c r="L349" s="2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26">
        <v>46358.0</v>
      </c>
      <c r="B350" s="19"/>
      <c r="C350" s="27"/>
      <c r="D350" s="19"/>
      <c r="E350" s="27"/>
      <c r="F350" s="27"/>
      <c r="G350" s="27"/>
      <c r="H350" s="27"/>
      <c r="I350" s="27"/>
      <c r="J350" s="19"/>
      <c r="K350" s="19"/>
      <c r="L350" s="2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26">
        <v>46359.0</v>
      </c>
      <c r="B351" s="19"/>
      <c r="C351" s="27"/>
      <c r="D351" s="19"/>
      <c r="E351" s="27"/>
      <c r="F351" s="27"/>
      <c r="G351" s="27"/>
      <c r="H351" s="27"/>
      <c r="I351" s="27"/>
      <c r="J351" s="19"/>
      <c r="K351" s="27"/>
      <c r="L351" s="2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26">
        <v>46360.0</v>
      </c>
      <c r="B352" s="19"/>
      <c r="C352" s="27"/>
      <c r="D352" s="19"/>
      <c r="E352" s="27"/>
      <c r="F352" s="27"/>
      <c r="G352" s="27"/>
      <c r="H352" s="19"/>
      <c r="I352" s="27"/>
      <c r="J352" s="19"/>
      <c r="K352" s="19"/>
      <c r="L352" s="1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26">
        <v>46361.0</v>
      </c>
      <c r="B353" s="19"/>
      <c r="C353" s="27"/>
      <c r="D353" s="19"/>
      <c r="E353" s="27"/>
      <c r="F353" s="27"/>
      <c r="G353" s="27"/>
      <c r="H353" s="27"/>
      <c r="I353" s="27"/>
      <c r="J353" s="19"/>
      <c r="K353" s="19"/>
      <c r="L353" s="2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26">
        <v>46362.0</v>
      </c>
      <c r="B354" s="19"/>
      <c r="C354" s="27"/>
      <c r="D354" s="19"/>
      <c r="E354" s="19"/>
      <c r="F354" s="27"/>
      <c r="G354" s="27"/>
      <c r="H354" s="19"/>
      <c r="I354" s="27"/>
      <c r="J354" s="19"/>
      <c r="K354" s="19"/>
      <c r="L354" s="1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26">
        <v>46363.0</v>
      </c>
      <c r="B355" s="19"/>
      <c r="C355" s="27"/>
      <c r="D355" s="19"/>
      <c r="E355" s="27"/>
      <c r="F355" s="27"/>
      <c r="G355" s="27"/>
      <c r="H355" s="27"/>
      <c r="I355" s="27"/>
      <c r="J355" s="19"/>
      <c r="K355" s="19"/>
      <c r="L355" s="2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26">
        <v>46364.0</v>
      </c>
      <c r="B356" s="19"/>
      <c r="C356" s="27"/>
      <c r="D356" s="19"/>
      <c r="E356" s="27"/>
      <c r="F356" s="19"/>
      <c r="G356" s="27"/>
      <c r="H356" s="27"/>
      <c r="I356" s="27"/>
      <c r="J356" s="19"/>
      <c r="K356" s="19"/>
      <c r="L356" s="2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26">
        <v>46365.0</v>
      </c>
      <c r="B357" s="19"/>
      <c r="C357" s="27"/>
      <c r="D357" s="19"/>
      <c r="E357" s="27"/>
      <c r="F357" s="27"/>
      <c r="G357" s="27"/>
      <c r="H357" s="27"/>
      <c r="I357" s="27"/>
      <c r="J357" s="19"/>
      <c r="K357" s="27"/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26">
        <v>46366.0</v>
      </c>
      <c r="B358" s="19"/>
      <c r="C358" s="27"/>
      <c r="D358" s="19"/>
      <c r="E358" s="27"/>
      <c r="F358" s="19"/>
      <c r="G358" s="27"/>
      <c r="I358" s="27"/>
      <c r="J358" s="19"/>
      <c r="K358" s="19"/>
      <c r="L358" s="1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26">
        <v>46367.0</v>
      </c>
      <c r="B359" s="19"/>
      <c r="C359" s="27"/>
      <c r="D359" s="19"/>
      <c r="E359" s="27"/>
      <c r="F359" s="27"/>
      <c r="G359" s="27"/>
      <c r="H359" s="19"/>
      <c r="I359" s="27"/>
      <c r="J359" s="19"/>
      <c r="K359" s="19"/>
      <c r="L359" s="2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26">
        <v>46368.0</v>
      </c>
      <c r="B360" s="19"/>
      <c r="C360" s="27"/>
      <c r="D360" s="19"/>
      <c r="E360" s="19"/>
      <c r="F360" s="27"/>
      <c r="G360" s="19"/>
      <c r="H360" s="27"/>
      <c r="I360" s="27"/>
      <c r="J360" s="19"/>
      <c r="K360" s="19"/>
      <c r="L360" s="2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26">
        <v>46369.0</v>
      </c>
      <c r="B361" s="19"/>
      <c r="C361" s="27"/>
      <c r="D361" s="19"/>
      <c r="E361" s="27"/>
      <c r="F361" s="27"/>
      <c r="G361" s="27"/>
      <c r="H361" s="27"/>
      <c r="I361" s="27"/>
      <c r="J361" s="19"/>
      <c r="K361" s="19"/>
      <c r="L361" s="2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26">
        <v>46370.0</v>
      </c>
      <c r="B362" s="19"/>
      <c r="C362" s="27"/>
      <c r="D362" s="19"/>
      <c r="E362" s="19"/>
      <c r="F362" s="27"/>
      <c r="G362" s="19"/>
      <c r="H362" s="27"/>
      <c r="I362" s="27"/>
      <c r="J362" s="19"/>
      <c r="K362" s="19"/>
      <c r="L362" s="1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26">
        <v>46371.0</v>
      </c>
      <c r="B363" s="19"/>
      <c r="C363" s="27"/>
      <c r="D363" s="19"/>
      <c r="E363" s="19"/>
      <c r="F363" s="27"/>
      <c r="G363" s="27"/>
      <c r="H363" s="27"/>
      <c r="I363" s="19"/>
      <c r="J363" s="19"/>
      <c r="K363" s="19"/>
      <c r="L363" s="2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26">
        <v>46372.0</v>
      </c>
      <c r="B364" s="19"/>
      <c r="C364" s="27"/>
      <c r="D364" s="19"/>
      <c r="E364" s="19"/>
      <c r="F364" s="27"/>
      <c r="G364" s="27"/>
      <c r="H364" s="19"/>
      <c r="I364" s="19"/>
      <c r="J364" s="19"/>
      <c r="K364" s="19"/>
      <c r="L364" s="2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26">
        <v>46373.0</v>
      </c>
      <c r="B365" s="19"/>
      <c r="C365" s="27"/>
      <c r="D365" s="19"/>
      <c r="E365" s="19"/>
      <c r="F365" s="27"/>
      <c r="G365" s="27"/>
      <c r="H365" s="27"/>
      <c r="I365" s="19"/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26">
        <v>46374.0</v>
      </c>
      <c r="B366" s="19"/>
      <c r="C366" s="27"/>
      <c r="D366" s="19"/>
      <c r="E366" s="19"/>
      <c r="F366" s="27"/>
      <c r="G366" s="27"/>
      <c r="H366" s="27"/>
      <c r="I366" s="27"/>
      <c r="J366" s="19"/>
      <c r="K366" s="19"/>
      <c r="L366" s="1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26">
        <v>46375.0</v>
      </c>
      <c r="B367" s="19"/>
      <c r="C367" s="27"/>
      <c r="D367" s="19"/>
      <c r="E367" s="27"/>
      <c r="F367" s="27"/>
      <c r="G367" s="27"/>
      <c r="H367" s="27"/>
      <c r="I367" s="27"/>
      <c r="J367" s="19"/>
      <c r="K367" s="19"/>
      <c r="L367" s="2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26">
        <v>46376.0</v>
      </c>
      <c r="B368" s="19"/>
      <c r="C368" s="27"/>
      <c r="D368" s="19"/>
      <c r="E368" s="27"/>
      <c r="F368" s="27"/>
      <c r="G368" s="27"/>
      <c r="H368" s="27"/>
      <c r="I368" s="27"/>
      <c r="J368" s="19"/>
      <c r="K368" s="19"/>
      <c r="L368" s="2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26">
        <v>46377.0</v>
      </c>
      <c r="B369" s="19"/>
      <c r="C369" s="27"/>
      <c r="D369" s="19"/>
      <c r="E369" s="27"/>
      <c r="F369" s="27"/>
      <c r="G369" s="27"/>
      <c r="H369" s="27"/>
      <c r="I369" s="19"/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26">
        <v>46378.0</v>
      </c>
      <c r="B370" s="19"/>
      <c r="C370" s="27"/>
      <c r="D370" s="19"/>
      <c r="E370" s="27"/>
      <c r="F370" s="27"/>
      <c r="G370" s="27"/>
      <c r="H370" s="27"/>
      <c r="I370" s="27"/>
      <c r="J370" s="19"/>
      <c r="K370" s="19"/>
      <c r="L370" s="2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26">
        <v>46379.0</v>
      </c>
      <c r="B371" s="19"/>
      <c r="C371" s="27"/>
      <c r="D371" s="19"/>
      <c r="E371" s="19"/>
      <c r="F371" s="19"/>
      <c r="G371" s="27"/>
      <c r="H371" s="27"/>
      <c r="I371" s="19"/>
      <c r="J371" s="19"/>
      <c r="K371" s="19"/>
      <c r="L371" s="2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26">
        <v>46380.0</v>
      </c>
      <c r="B372" s="19"/>
      <c r="C372" s="27"/>
      <c r="D372" s="19"/>
      <c r="E372" s="27"/>
      <c r="F372" s="19"/>
      <c r="G372" s="19"/>
      <c r="H372" s="27"/>
      <c r="I372" s="27"/>
      <c r="J372" s="19"/>
      <c r="K372" s="19"/>
      <c r="L372" s="1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26">
        <v>46381.0</v>
      </c>
      <c r="B373" s="19"/>
      <c r="C373" s="27"/>
      <c r="D373" s="19"/>
      <c r="E373" s="27"/>
      <c r="F373" s="19"/>
      <c r="G373" s="27"/>
      <c r="H373" s="27"/>
      <c r="I373" s="19"/>
      <c r="J373" s="19"/>
      <c r="K373" s="19"/>
      <c r="L373" s="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26">
        <v>46382.0</v>
      </c>
      <c r="B374" s="19"/>
      <c r="C374" s="27"/>
      <c r="D374" s="19"/>
      <c r="E374" s="19"/>
      <c r="F374" s="27"/>
      <c r="G374" s="19"/>
      <c r="H374" s="19"/>
      <c r="I374" s="19"/>
      <c r="J374" s="19"/>
      <c r="K374" s="19"/>
      <c r="L374" s="1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26">
        <v>46383.0</v>
      </c>
      <c r="B375" s="19"/>
      <c r="C375" s="27"/>
      <c r="D375" s="19"/>
      <c r="E375" s="27"/>
      <c r="F375" s="27"/>
      <c r="G375" s="27"/>
      <c r="H375" s="27"/>
      <c r="I375" s="27"/>
      <c r="J375" s="19"/>
      <c r="K375" s="27"/>
      <c r="L375" s="2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26">
        <v>46384.0</v>
      </c>
      <c r="B376" s="19"/>
      <c r="C376" s="27"/>
      <c r="D376" s="19"/>
      <c r="E376" s="19"/>
      <c r="F376" s="27"/>
      <c r="G376" s="27"/>
      <c r="H376" s="19"/>
      <c r="I376" s="19"/>
      <c r="J376" s="27"/>
      <c r="K376" s="27"/>
      <c r="L376" s="1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26">
        <v>46385.0</v>
      </c>
      <c r="B377" s="19"/>
      <c r="C377" s="27"/>
      <c r="D377" s="19"/>
      <c r="E377" s="19"/>
      <c r="F377" s="19"/>
      <c r="G377" s="27"/>
      <c r="H377" s="19"/>
      <c r="I377" s="27"/>
      <c r="K377" s="19"/>
      <c r="L377" s="27"/>
      <c r="M377" s="2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26">
        <v>46386.0</v>
      </c>
      <c r="B378" s="19"/>
      <c r="C378" s="27"/>
      <c r="D378" s="19"/>
      <c r="E378" s="19"/>
      <c r="F378" s="19"/>
      <c r="G378" s="19"/>
      <c r="H378" s="19"/>
      <c r="I378" s="27"/>
      <c r="J378" s="19"/>
      <c r="K378" s="19"/>
      <c r="L378" s="1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26">
        <v>46387.0</v>
      </c>
      <c r="B379" s="19"/>
      <c r="C379" s="27"/>
      <c r="D379" s="19"/>
      <c r="E379" s="27"/>
      <c r="F379" s="19"/>
      <c r="G379" s="19"/>
      <c r="H379" s="19"/>
      <c r="I379" s="27"/>
      <c r="J379" s="27"/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26"/>
      <c r="B380" s="19"/>
      <c r="C380" s="19"/>
      <c r="D380" s="19"/>
      <c r="E380" s="19"/>
      <c r="F380" s="19"/>
      <c r="J380" s="19"/>
      <c r="K380" s="27"/>
      <c r="L380" s="1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</sheetData>
  <mergeCells count="2">
    <mergeCell ref="O52:O54"/>
    <mergeCell ref="O57:O5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5"/>
    </row>
    <row r="2">
      <c r="A2" s="36"/>
      <c r="B2" s="37">
        <f t="shared" ref="B2:E2" si="1">sum(B3:B1000)</f>
        <v>0</v>
      </c>
      <c r="C2" s="37">
        <f t="shared" si="1"/>
        <v>94572.94</v>
      </c>
      <c r="D2" s="37">
        <f t="shared" si="1"/>
        <v>11859.25</v>
      </c>
      <c r="E2" s="37">
        <f t="shared" si="1"/>
        <v>9507.84</v>
      </c>
      <c r="F2" s="24"/>
    </row>
    <row r="3">
      <c r="A3" s="29" t="s">
        <v>17</v>
      </c>
      <c r="B3" s="27"/>
      <c r="C3" s="27">
        <f>3515.61*2</f>
        <v>7031.22</v>
      </c>
      <c r="D3" s="27">
        <f>28.7*2+2122.98</f>
        <v>2180.38</v>
      </c>
      <c r="E3" s="27"/>
      <c r="F3" s="19">
        <f t="shared" ref="F3:F14" si="2">sum(B3:E3)</f>
        <v>9211.6</v>
      </c>
    </row>
    <row r="4">
      <c r="A4" s="29" t="s">
        <v>18</v>
      </c>
      <c r="B4" s="27"/>
      <c r="C4" s="27">
        <f>3515.61+3647.34</f>
        <v>7162.95</v>
      </c>
      <c r="D4" s="27">
        <f>sum(28.7*2,301.56,487.72)</f>
        <v>846.68</v>
      </c>
      <c r="E4" s="27"/>
      <c r="F4" s="19">
        <f t="shared" si="2"/>
        <v>8009.63</v>
      </c>
    </row>
    <row r="5">
      <c r="A5" s="29" t="s">
        <v>19</v>
      </c>
      <c r="B5" s="27"/>
      <c r="C5" s="27">
        <f>3515.61*2</f>
        <v>7031.22</v>
      </c>
      <c r="D5" s="19">
        <f>384.17+28.7+101.95+28.7+203.91</f>
        <v>747.43</v>
      </c>
      <c r="E5" s="27">
        <v>768.34</v>
      </c>
      <c r="F5" s="19">
        <f t="shared" si="2"/>
        <v>8546.99</v>
      </c>
    </row>
    <row r="6">
      <c r="A6" s="29" t="s">
        <v>20</v>
      </c>
      <c r="B6" s="27"/>
      <c r="C6" s="27">
        <f>3515.61*3</f>
        <v>10546.83</v>
      </c>
      <c r="D6" s="27">
        <f>28.7*2+152.63</f>
        <v>210.03</v>
      </c>
      <c r="E6" s="27">
        <f>sum(454.85,113.71,123.47)</f>
        <v>692.03</v>
      </c>
      <c r="F6" s="19">
        <f t="shared" si="2"/>
        <v>11448.89</v>
      </c>
    </row>
    <row r="7">
      <c r="A7" s="29" t="s">
        <v>21</v>
      </c>
      <c r="B7" s="27"/>
      <c r="C7" s="27">
        <f>3515.61*2</f>
        <v>7031.22</v>
      </c>
      <c r="D7">
        <f>28.7*3+101.95*2+210.03</f>
        <v>500.03</v>
      </c>
      <c r="E7" s="27">
        <f>384.17+791.4</f>
        <v>1175.57</v>
      </c>
      <c r="F7" s="19">
        <f t="shared" si="2"/>
        <v>8706.82</v>
      </c>
    </row>
    <row r="8">
      <c r="A8" s="29" t="s">
        <v>22</v>
      </c>
      <c r="B8" s="27"/>
      <c r="C8" s="27">
        <f>3641.58*2</f>
        <v>7283.16</v>
      </c>
      <c r="D8" s="27">
        <f>28.7*2+157.22</f>
        <v>214.62</v>
      </c>
      <c r="E8" s="27">
        <v>607.37</v>
      </c>
      <c r="F8" s="19">
        <f t="shared" si="2"/>
        <v>8105.15</v>
      </c>
    </row>
    <row r="9">
      <c r="A9" s="29" t="s">
        <v>23</v>
      </c>
      <c r="B9" s="27"/>
      <c r="C9" s="27">
        <f>3641.5*2</f>
        <v>7283</v>
      </c>
      <c r="D9" s="27">
        <f>157.22+12.3</f>
        <v>169.52</v>
      </c>
      <c r="E9" s="27">
        <v>607.37</v>
      </c>
      <c r="F9" s="19">
        <f t="shared" si="2"/>
        <v>8059.89</v>
      </c>
    </row>
    <row r="10">
      <c r="A10" s="29" t="s">
        <v>24</v>
      </c>
      <c r="B10" s="27"/>
      <c r="C10" s="19">
        <f t="shared" ref="C10:C11" si="3">3641.58*2</f>
        <v>7283.16</v>
      </c>
      <c r="D10" s="27">
        <f>43.88+4+2826.84+164.24+69.58</f>
        <v>3108.54</v>
      </c>
      <c r="E10" s="27">
        <v>635.45</v>
      </c>
      <c r="F10" s="19">
        <f t="shared" si="2"/>
        <v>11027.15</v>
      </c>
    </row>
    <row r="11">
      <c r="A11" s="29" t="s">
        <v>25</v>
      </c>
      <c r="B11" s="27"/>
      <c r="C11" s="27">
        <f t="shared" si="3"/>
        <v>7283.16</v>
      </c>
      <c r="D11" s="27">
        <f>342.67+171.34</f>
        <v>514.01</v>
      </c>
      <c r="E11" s="27">
        <f>1342.35+661.64</f>
        <v>2003.99</v>
      </c>
      <c r="F11" s="19">
        <f t="shared" si="2"/>
        <v>9801.16</v>
      </c>
    </row>
    <row r="12">
      <c r="A12" s="29" t="s">
        <v>26</v>
      </c>
      <c r="B12" s="27"/>
      <c r="C12" s="19">
        <f>3641.6*3</f>
        <v>10924.8</v>
      </c>
      <c r="D12" s="27">
        <f>181.41+170.76+171.34</f>
        <v>523.51</v>
      </c>
      <c r="E12" s="27">
        <f>701.95+661.64+661.64</f>
        <v>2025.23</v>
      </c>
      <c r="F12" s="19">
        <f t="shared" si="2"/>
        <v>13473.54</v>
      </c>
    </row>
    <row r="13">
      <c r="A13" s="29" t="s">
        <v>27</v>
      </c>
      <c r="B13" s="27"/>
      <c r="C13" s="19">
        <f>3641.58*2</f>
        <v>7283.16</v>
      </c>
      <c r="D13" s="27">
        <f>355.36+1322.59</f>
        <v>1677.95</v>
      </c>
      <c r="E13" s="27">
        <v>992.49</v>
      </c>
      <c r="F13" s="19">
        <f t="shared" si="2"/>
        <v>9953.6</v>
      </c>
    </row>
    <row r="14">
      <c r="A14" s="29" t="s">
        <v>28</v>
      </c>
      <c r="B14" s="27"/>
      <c r="C14" s="27">
        <f>4697.65+3731.41</f>
        <v>8429.06</v>
      </c>
      <c r="D14" s="27">
        <v>1166.55</v>
      </c>
      <c r="E14" s="27"/>
      <c r="F14" s="19">
        <f t="shared" si="2"/>
        <v>9595.61</v>
      </c>
    </row>
    <row r="15">
      <c r="F15" s="19"/>
    </row>
    <row r="16">
      <c r="F16" s="19"/>
    </row>
    <row r="17">
      <c r="F17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1" max="11" width="9.13"/>
    <col customWidth="1" min="12" max="12" width="9.88"/>
    <col customWidth="1" min="14" max="14" width="14.13"/>
  </cols>
  <sheetData>
    <row r="1" ht="18.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 t="s">
        <v>11</v>
      </c>
      <c r="N1" s="7"/>
      <c r="O1" s="8"/>
      <c r="P1" s="8"/>
      <c r="Q1" s="8"/>
      <c r="R1" s="7"/>
      <c r="S1" s="7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/>
      <c r="B2" s="10">
        <f t="shared" ref="B2:B14" si="3">SUM(E2:L2)</f>
        <v>-99854.86</v>
      </c>
      <c r="C2" s="11">
        <f>SUM(C3:C14)</f>
        <v>115940.03</v>
      </c>
      <c r="D2" s="12">
        <f t="shared" ref="D2:D14" si="4">SUM(B2,C2)</f>
        <v>16085.17</v>
      </c>
      <c r="E2" s="13">
        <f t="shared" ref="E2:H2" si="1">SUM(E15:E1014)</f>
        <v>-2057.74</v>
      </c>
      <c r="F2" s="13">
        <f t="shared" si="1"/>
        <v>-12794.98</v>
      </c>
      <c r="G2" s="13">
        <f t="shared" si="1"/>
        <v>-16539.02</v>
      </c>
      <c r="H2" s="13">
        <f t="shared" si="1"/>
        <v>-15830.92</v>
      </c>
      <c r="I2" s="13">
        <f>SUM(I16:I1014)</f>
        <v>-5750.71</v>
      </c>
      <c r="J2" s="13">
        <f t="shared" ref="J2:M2" si="2">SUM(J15:J1014)</f>
        <v>-10038</v>
      </c>
      <c r="K2" s="13">
        <f t="shared" si="2"/>
        <v>-32137</v>
      </c>
      <c r="L2" s="14">
        <f t="shared" si="2"/>
        <v>-4706.49</v>
      </c>
      <c r="M2" s="14">
        <f t="shared" si="2"/>
        <v>13395.67</v>
      </c>
      <c r="N2" s="15"/>
      <c r="O2" s="8"/>
      <c r="P2" s="8"/>
      <c r="Q2" s="8"/>
      <c r="R2" s="16"/>
      <c r="S2" s="16"/>
      <c r="T2" s="1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38">
        <v>45658.0</v>
      </c>
      <c r="B3" s="10">
        <f t="shared" si="3"/>
        <v>-11256.84</v>
      </c>
      <c r="C3" s="18">
        <f>'2025_income'!F3</f>
        <v>9211.6</v>
      </c>
      <c r="D3" s="12">
        <f t="shared" si="4"/>
        <v>-2045.24</v>
      </c>
      <c r="E3" s="19">
        <f t="shared" ref="E3:H3" si="5">sum(E15:E45)</f>
        <v>-30</v>
      </c>
      <c r="F3" s="19">
        <f t="shared" si="5"/>
        <v>-378.82</v>
      </c>
      <c r="G3" s="19">
        <f t="shared" si="5"/>
        <v>-417.78</v>
      </c>
      <c r="H3" s="19">
        <f t="shared" si="5"/>
        <v>-1829.55</v>
      </c>
      <c r="I3" s="19">
        <f>sum(I16:I45)</f>
        <v>-598.35</v>
      </c>
      <c r="J3" s="19">
        <f t="shared" ref="J3:M3" si="6">sum(J15:J45)</f>
        <v>-5000</v>
      </c>
      <c r="K3" s="19">
        <f t="shared" si="6"/>
        <v>-2641</v>
      </c>
      <c r="L3" s="20">
        <f t="shared" si="6"/>
        <v>-361.34</v>
      </c>
      <c r="M3" s="20">
        <f t="shared" si="6"/>
        <v>0</v>
      </c>
      <c r="N3" s="2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7">
        <v>45689.0</v>
      </c>
      <c r="B4" s="10">
        <f t="shared" si="3"/>
        <v>-6822.81</v>
      </c>
      <c r="C4" s="18">
        <f>'2025_income'!F4</f>
        <v>8009.63</v>
      </c>
      <c r="D4" s="12">
        <f t="shared" si="4"/>
        <v>1186.82</v>
      </c>
      <c r="E4" s="19">
        <f t="shared" ref="E4:M4" si="7">SUM(E46:E73)</f>
        <v>-30</v>
      </c>
      <c r="F4" s="19">
        <f t="shared" si="7"/>
        <v>-606.55</v>
      </c>
      <c r="G4" s="19">
        <f t="shared" si="7"/>
        <v>-1538.9</v>
      </c>
      <c r="H4" s="19">
        <f t="shared" si="7"/>
        <v>-1308.15</v>
      </c>
      <c r="I4" s="19">
        <f t="shared" si="7"/>
        <v>-376.93</v>
      </c>
      <c r="J4" s="19">
        <f t="shared" si="7"/>
        <v>-38</v>
      </c>
      <c r="K4" s="19">
        <f t="shared" si="7"/>
        <v>-2641</v>
      </c>
      <c r="L4" s="20">
        <f t="shared" si="7"/>
        <v>-283.28</v>
      </c>
      <c r="M4" s="20">
        <f t="shared" si="7"/>
        <v>0</v>
      </c>
      <c r="N4" s="2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7">
        <v>45717.0</v>
      </c>
      <c r="B5" s="10">
        <f t="shared" si="3"/>
        <v>-12781.32</v>
      </c>
      <c r="C5" s="18">
        <f>'2025_income'!F5</f>
        <v>8546.99</v>
      </c>
      <c r="D5" s="12">
        <f t="shared" si="4"/>
        <v>-4234.33</v>
      </c>
      <c r="E5" s="19">
        <f t="shared" ref="E5:M5" si="8">sum(E74:E104)</f>
        <v>0</v>
      </c>
      <c r="F5" s="19">
        <f t="shared" si="8"/>
        <v>-114.92</v>
      </c>
      <c r="G5" s="19">
        <f t="shared" si="8"/>
        <v>-3222.92</v>
      </c>
      <c r="H5" s="19">
        <f t="shared" si="8"/>
        <v>-1230.51</v>
      </c>
      <c r="I5" s="19">
        <f t="shared" si="8"/>
        <v>-269.92</v>
      </c>
      <c r="J5" s="19">
        <f t="shared" si="8"/>
        <v>-5000</v>
      </c>
      <c r="K5" s="19">
        <f t="shared" si="8"/>
        <v>-2641</v>
      </c>
      <c r="L5" s="20">
        <f t="shared" si="8"/>
        <v>-302.05</v>
      </c>
      <c r="M5" s="20">
        <f t="shared" si="8"/>
        <v>0</v>
      </c>
      <c r="N5" s="2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17">
        <v>45748.0</v>
      </c>
      <c r="B6" s="10">
        <f t="shared" si="3"/>
        <v>-6219.8</v>
      </c>
      <c r="C6" s="18">
        <f>'2025_income'!F6</f>
        <v>11448.89</v>
      </c>
      <c r="D6" s="12">
        <f t="shared" si="4"/>
        <v>5229.09</v>
      </c>
      <c r="E6" s="19">
        <f t="shared" ref="E6:M6" si="9">sum(E105:E134)</f>
        <v>-5.6</v>
      </c>
      <c r="F6" s="19">
        <f t="shared" si="9"/>
        <v>-615.04</v>
      </c>
      <c r="G6" s="19">
        <f t="shared" si="9"/>
        <v>-707.91</v>
      </c>
      <c r="H6" s="19">
        <f t="shared" si="9"/>
        <v>-1554.5</v>
      </c>
      <c r="I6" s="19">
        <f t="shared" si="9"/>
        <v>-412.47</v>
      </c>
      <c r="J6" s="19">
        <f t="shared" si="9"/>
        <v>0</v>
      </c>
      <c r="K6" s="19">
        <f t="shared" si="9"/>
        <v>-2641</v>
      </c>
      <c r="L6" s="20">
        <f t="shared" si="9"/>
        <v>-283.28</v>
      </c>
      <c r="M6" s="20">
        <f t="shared" si="9"/>
        <v>0</v>
      </c>
      <c r="N6" s="2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7">
        <v>45778.0</v>
      </c>
      <c r="B7" s="10">
        <f t="shared" si="3"/>
        <v>-6466.07</v>
      </c>
      <c r="C7" s="18">
        <f>'2025_income'!F7</f>
        <v>8706.82</v>
      </c>
      <c r="D7" s="12">
        <f t="shared" si="4"/>
        <v>2240.75</v>
      </c>
      <c r="E7" s="19">
        <f t="shared" ref="E7:M7" si="10">sum(E135:E165)</f>
        <v>-90</v>
      </c>
      <c r="F7" s="19">
        <f t="shared" si="10"/>
        <v>-386.37</v>
      </c>
      <c r="G7" s="19">
        <f t="shared" si="10"/>
        <v>-1044.16</v>
      </c>
      <c r="H7" s="19">
        <f t="shared" si="10"/>
        <v>-1451.82</v>
      </c>
      <c r="I7" s="19">
        <f t="shared" si="10"/>
        <v>-529.44</v>
      </c>
      <c r="J7" s="19">
        <f t="shared" si="10"/>
        <v>0</v>
      </c>
      <c r="K7" s="19">
        <f t="shared" si="10"/>
        <v>-2641</v>
      </c>
      <c r="L7" s="20">
        <f t="shared" si="10"/>
        <v>-323.28</v>
      </c>
      <c r="M7" s="20">
        <f t="shared" si="10"/>
        <v>0</v>
      </c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7">
        <v>45809.0</v>
      </c>
      <c r="B8" s="10">
        <f t="shared" si="3"/>
        <v>-8757.38</v>
      </c>
      <c r="C8" s="18">
        <f>'2025_income'!F8</f>
        <v>8105.15</v>
      </c>
      <c r="D8" s="12">
        <f t="shared" si="4"/>
        <v>-652.23</v>
      </c>
      <c r="E8" s="19">
        <f t="shared" ref="E8:M8" si="11">sum(E166:E195)</f>
        <v>-20</v>
      </c>
      <c r="F8" s="19">
        <f t="shared" si="11"/>
        <v>-2442.25</v>
      </c>
      <c r="G8" s="19">
        <f t="shared" si="11"/>
        <v>-1709.96</v>
      </c>
      <c r="H8" s="19">
        <f t="shared" si="11"/>
        <v>-1289.41</v>
      </c>
      <c r="I8" s="19">
        <f t="shared" si="11"/>
        <v>-371.48</v>
      </c>
      <c r="J8" s="19">
        <f t="shared" si="11"/>
        <v>0</v>
      </c>
      <c r="K8" s="19">
        <f t="shared" si="11"/>
        <v>-2641</v>
      </c>
      <c r="L8" s="20">
        <f t="shared" si="11"/>
        <v>-283.28</v>
      </c>
      <c r="M8" s="20">
        <f t="shared" si="11"/>
        <v>0</v>
      </c>
      <c r="N8" s="2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22">
        <v>2.0</v>
      </c>
    </row>
    <row r="9">
      <c r="A9" s="17">
        <v>45839.0</v>
      </c>
      <c r="B9" s="10">
        <f t="shared" si="3"/>
        <v>-7019.42</v>
      </c>
      <c r="C9" s="18">
        <f>'2025_income'!F9</f>
        <v>8059.89</v>
      </c>
      <c r="D9" s="12">
        <f t="shared" si="4"/>
        <v>1040.47</v>
      </c>
      <c r="E9" s="19">
        <f t="shared" ref="E9:M9" si="12">sum(E196:E226)</f>
        <v>-20</v>
      </c>
      <c r="F9" s="19">
        <f t="shared" si="12"/>
        <v>-881.4</v>
      </c>
      <c r="G9" s="19">
        <f t="shared" si="12"/>
        <v>-1062.7</v>
      </c>
      <c r="H9" s="19">
        <f t="shared" si="12"/>
        <v>-1374.21</v>
      </c>
      <c r="I9" s="19">
        <f t="shared" si="12"/>
        <v>-587.86</v>
      </c>
      <c r="J9" s="19">
        <f t="shared" si="12"/>
        <v>0</v>
      </c>
      <c r="K9" s="19">
        <f t="shared" si="12"/>
        <v>-2651</v>
      </c>
      <c r="L9" s="20">
        <f t="shared" si="12"/>
        <v>-442.25</v>
      </c>
      <c r="M9" s="20">
        <f t="shared" si="12"/>
        <v>0</v>
      </c>
      <c r="N9" s="2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17">
        <v>45870.0</v>
      </c>
      <c r="B10" s="10">
        <f t="shared" si="3"/>
        <v>-5931.69</v>
      </c>
      <c r="C10" s="18">
        <f>'2025_income'!F10</f>
        <v>11027.15</v>
      </c>
      <c r="D10" s="12">
        <f t="shared" si="4"/>
        <v>5095.46</v>
      </c>
      <c r="E10" s="19">
        <f t="shared" ref="E10:M10" si="13">sum(E227:E257)</f>
        <v>0</v>
      </c>
      <c r="F10" s="19">
        <f t="shared" si="13"/>
        <v>2078.14</v>
      </c>
      <c r="G10" s="19">
        <f t="shared" si="13"/>
        <v>-1929.22</v>
      </c>
      <c r="H10" s="19">
        <f t="shared" si="13"/>
        <v>-1432.11</v>
      </c>
      <c r="I10" s="19">
        <f t="shared" si="13"/>
        <v>-664.85</v>
      </c>
      <c r="J10" s="19">
        <f t="shared" si="13"/>
        <v>0</v>
      </c>
      <c r="K10" s="19">
        <f t="shared" si="13"/>
        <v>-3410</v>
      </c>
      <c r="L10" s="20">
        <f t="shared" si="13"/>
        <v>-573.65</v>
      </c>
      <c r="M10" s="20">
        <f t="shared" si="13"/>
        <v>0</v>
      </c>
      <c r="N10" s="2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7">
        <v>45901.0</v>
      </c>
      <c r="B11" s="10">
        <f t="shared" si="3"/>
        <v>-12784.76</v>
      </c>
      <c r="C11" s="18">
        <f>'2025_income'!F11</f>
        <v>9801.16</v>
      </c>
      <c r="D11" s="12">
        <f t="shared" si="4"/>
        <v>-2983.6</v>
      </c>
      <c r="E11" s="19">
        <f t="shared" ref="E11:M11" si="14">SUM(E258:E287)</f>
        <v>-14</v>
      </c>
      <c r="F11" s="19">
        <f t="shared" si="14"/>
        <v>-5594.8</v>
      </c>
      <c r="G11" s="19">
        <f t="shared" si="14"/>
        <v>-1229.71</v>
      </c>
      <c r="H11" s="19">
        <f t="shared" si="14"/>
        <v>-1296.25</v>
      </c>
      <c r="I11" s="19">
        <f t="shared" si="14"/>
        <v>-709.88</v>
      </c>
      <c r="J11" s="19">
        <f t="shared" si="14"/>
        <v>0</v>
      </c>
      <c r="K11" s="19">
        <f t="shared" si="14"/>
        <v>-3410</v>
      </c>
      <c r="L11" s="20">
        <f t="shared" si="14"/>
        <v>-530.12</v>
      </c>
      <c r="M11" s="20">
        <f t="shared" si="14"/>
        <v>0</v>
      </c>
      <c r="N11" s="2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17">
        <v>45931.0</v>
      </c>
      <c r="B12" s="10">
        <f t="shared" si="3"/>
        <v>-7441.09</v>
      </c>
      <c r="C12" s="18">
        <f>'2025_income'!F12</f>
        <v>13473.54</v>
      </c>
      <c r="D12" s="12">
        <f t="shared" si="4"/>
        <v>6032.45</v>
      </c>
      <c r="E12" s="19">
        <f t="shared" ref="E12:M12" si="15">SUM(E288:E318)</f>
        <v>-236.04</v>
      </c>
      <c r="F12" s="19">
        <f t="shared" si="15"/>
        <v>-1210.76</v>
      </c>
      <c r="G12" s="19">
        <f t="shared" si="15"/>
        <v>-1082.18</v>
      </c>
      <c r="H12" s="19">
        <f t="shared" si="15"/>
        <v>-809.11</v>
      </c>
      <c r="I12" s="19">
        <f t="shared" si="15"/>
        <v>-116.2</v>
      </c>
      <c r="J12" s="19">
        <f t="shared" si="15"/>
        <v>0</v>
      </c>
      <c r="K12" s="19">
        <f t="shared" si="15"/>
        <v>-3410</v>
      </c>
      <c r="L12" s="20">
        <f t="shared" si="15"/>
        <v>-576.8</v>
      </c>
      <c r="M12" s="20">
        <f t="shared" si="15"/>
        <v>0</v>
      </c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17">
        <v>45962.0</v>
      </c>
      <c r="B13" s="10">
        <f t="shared" si="3"/>
        <v>-9227.8</v>
      </c>
      <c r="C13" s="18">
        <f>'2025_income'!F13</f>
        <v>9953.6</v>
      </c>
      <c r="D13" s="12">
        <f t="shared" si="4"/>
        <v>725.8</v>
      </c>
      <c r="E13" s="19">
        <f t="shared" ref="E13:M13" si="16">SUM(E319:E348)</f>
        <v>-1597.13</v>
      </c>
      <c r="F13" s="19">
        <f t="shared" si="16"/>
        <v>-1114.86</v>
      </c>
      <c r="G13" s="19">
        <f t="shared" si="16"/>
        <v>-1061.37</v>
      </c>
      <c r="H13" s="19">
        <f t="shared" si="16"/>
        <v>-978.5</v>
      </c>
      <c r="I13" s="19">
        <f t="shared" si="16"/>
        <v>-562.08</v>
      </c>
      <c r="J13" s="19">
        <f t="shared" si="16"/>
        <v>0</v>
      </c>
      <c r="K13" s="19">
        <f t="shared" si="16"/>
        <v>-3410</v>
      </c>
      <c r="L13" s="20">
        <f t="shared" si="16"/>
        <v>-503.86</v>
      </c>
      <c r="M13" s="20">
        <f t="shared" si="16"/>
        <v>6550</v>
      </c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7">
        <v>45992.0</v>
      </c>
      <c r="B14" s="10">
        <f t="shared" si="3"/>
        <v>-5067.88</v>
      </c>
      <c r="C14" s="18">
        <f>'2025_income'!F14</f>
        <v>9595.61</v>
      </c>
      <c r="D14" s="23">
        <f t="shared" si="4"/>
        <v>4527.73</v>
      </c>
      <c r="E14" s="24">
        <f t="shared" ref="E14:F14" si="17">SUM(E349:E379)</f>
        <v>-14.97</v>
      </c>
      <c r="F14" s="24">
        <f t="shared" si="17"/>
        <v>-1527.35</v>
      </c>
      <c r="G14" s="24">
        <f t="shared" ref="G14:I14" si="18">SUM(G349:G378)</f>
        <v>-1532.21</v>
      </c>
      <c r="H14" s="24">
        <f t="shared" si="18"/>
        <v>-1276.8</v>
      </c>
      <c r="I14" s="24">
        <f t="shared" si="18"/>
        <v>-473.25</v>
      </c>
      <c r="J14" s="24">
        <f t="shared" ref="J14:M14" si="19">SUM(J349:J379)</f>
        <v>0</v>
      </c>
      <c r="K14" s="24">
        <f t="shared" si="19"/>
        <v>0</v>
      </c>
      <c r="L14" s="25">
        <f t="shared" si="19"/>
        <v>-243.3</v>
      </c>
      <c r="M14" s="25">
        <f t="shared" si="19"/>
        <v>6845.67</v>
      </c>
      <c r="N14" s="2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6">
        <v>45658.0</v>
      </c>
      <c r="B15" s="19"/>
      <c r="C15" s="27"/>
      <c r="D15" s="19"/>
      <c r="E15" s="27"/>
      <c r="F15" s="27"/>
      <c r="G15" s="27">
        <v>-9.99</v>
      </c>
      <c r="H15" s="19">
        <f>-10.5-37.44-13.8</f>
        <v>-61.74</v>
      </c>
      <c r="I15" s="39">
        <v>-18.78</v>
      </c>
      <c r="J15" s="19"/>
      <c r="K15" s="19"/>
      <c r="L15" s="19"/>
      <c r="M15" s="28"/>
      <c r="N15" s="2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6">
        <v>45659.0</v>
      </c>
      <c r="B16" s="19"/>
      <c r="C16" s="27"/>
      <c r="D16" s="19"/>
      <c r="E16" s="19"/>
      <c r="F16" s="27"/>
      <c r="G16" s="19"/>
      <c r="H16" s="27">
        <f>-112.32-13.72-23.41</f>
        <v>-149.45</v>
      </c>
      <c r="I16" s="27">
        <v>-14.72</v>
      </c>
      <c r="J16" s="19"/>
      <c r="K16" s="19"/>
      <c r="L16" s="19"/>
      <c r="M16" s="28"/>
      <c r="N16" s="2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26">
        <v>45660.0</v>
      </c>
      <c r="B17" s="27"/>
      <c r="C17" s="27"/>
      <c r="D17" s="19"/>
      <c r="E17" s="27">
        <v>-10.0</v>
      </c>
      <c r="F17" s="27">
        <v>-48.0</v>
      </c>
      <c r="G17" s="27"/>
      <c r="H17" s="19">
        <f>-57.29-13.85-25.35-46.95-18.29-56.39-26.29</f>
        <v>-244.41</v>
      </c>
      <c r="I17" s="27">
        <f>-56.01-5.57-5.05</f>
        <v>-66.63</v>
      </c>
      <c r="J17" s="27"/>
      <c r="K17" s="27"/>
      <c r="L17" s="27">
        <v>-58.32</v>
      </c>
      <c r="M17" s="28"/>
      <c r="N17" s="21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26">
        <v>45661.0</v>
      </c>
      <c r="B18" s="27"/>
      <c r="C18" s="27"/>
      <c r="D18" s="19"/>
      <c r="E18" s="27"/>
      <c r="F18" s="27"/>
      <c r="G18" s="27"/>
      <c r="H18" s="27">
        <f>-6.23-31.76</f>
        <v>-37.99</v>
      </c>
      <c r="I18" s="27">
        <v>-14.72</v>
      </c>
      <c r="J18" s="19"/>
      <c r="K18" s="19"/>
      <c r="L18" s="19"/>
      <c r="M18" s="28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29">
        <v>11222.0</v>
      </c>
    </row>
    <row r="19">
      <c r="A19" s="26">
        <v>45662.0</v>
      </c>
      <c r="B19" s="27"/>
      <c r="C19" s="27"/>
      <c r="D19" s="19"/>
      <c r="E19" s="27"/>
      <c r="F19" s="27">
        <v>-55.0</v>
      </c>
      <c r="G19" s="27"/>
      <c r="H19" s="27"/>
      <c r="I19" s="27">
        <f>-40-8.08</f>
        <v>-48.08</v>
      </c>
      <c r="J19" s="19"/>
      <c r="K19" s="19"/>
      <c r="L19" s="27"/>
      <c r="M19" s="28"/>
      <c r="N19" s="21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26">
        <v>45663.0</v>
      </c>
      <c r="B20" s="27"/>
      <c r="C20" s="27"/>
      <c r="D20" s="19"/>
      <c r="E20" s="27"/>
      <c r="F20" s="27">
        <v>-30.32</v>
      </c>
      <c r="G20" s="27">
        <f>-40.2-35.13-29.17</f>
        <v>-104.5</v>
      </c>
      <c r="H20" s="27">
        <f>-25.21-12.9-24.23-18</f>
        <v>-80.34</v>
      </c>
      <c r="I20" s="27"/>
      <c r="J20" s="19"/>
      <c r="K20" s="19">
        <f>-1385-756</f>
        <v>-2141</v>
      </c>
      <c r="L20" s="27"/>
      <c r="M20" s="28"/>
      <c r="N20" s="21"/>
      <c r="O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26">
        <v>45664.0</v>
      </c>
      <c r="B21" s="27"/>
      <c r="C21" s="27"/>
      <c r="D21" s="19"/>
      <c r="E21" s="27"/>
      <c r="F21" s="27"/>
      <c r="G21" s="27">
        <v>-14.99</v>
      </c>
      <c r="H21" s="27"/>
      <c r="I21" s="27"/>
      <c r="J21" s="19"/>
      <c r="K21" s="19"/>
      <c r="L21" s="27"/>
      <c r="M21" s="28"/>
      <c r="N21" s="21"/>
      <c r="O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26">
        <v>45665.0</v>
      </c>
      <c r="B22" s="27"/>
      <c r="C22" s="27"/>
      <c r="D22" s="19"/>
      <c r="E22" s="27"/>
      <c r="F22" s="27"/>
      <c r="G22" s="27"/>
      <c r="H22" s="27">
        <v>-8.97</v>
      </c>
      <c r="I22" s="19"/>
      <c r="J22" s="19"/>
      <c r="K22" s="27"/>
      <c r="L22" s="27"/>
      <c r="M22" s="28"/>
      <c r="N22" s="21"/>
      <c r="O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26">
        <v>45666.0</v>
      </c>
      <c r="B23" s="27"/>
      <c r="C23" s="27"/>
      <c r="D23" s="19"/>
      <c r="E23" s="27"/>
      <c r="F23" s="27">
        <v>-15.75</v>
      </c>
      <c r="G23" s="27"/>
      <c r="H23" s="27"/>
      <c r="I23" s="19"/>
      <c r="J23" s="19"/>
      <c r="K23" s="19"/>
      <c r="L23" s="19"/>
      <c r="M23" s="28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26">
        <v>45667.0</v>
      </c>
      <c r="B24" s="27"/>
      <c r="C24" s="27"/>
      <c r="D24" s="19"/>
      <c r="E24" s="27">
        <v>-20.0</v>
      </c>
      <c r="F24" s="27"/>
      <c r="G24" s="27"/>
      <c r="H24" s="27">
        <f>-1.9*2-2.28-3.02-13.22-27.48</f>
        <v>-49.8</v>
      </c>
      <c r="I24" s="27"/>
      <c r="J24" s="19"/>
      <c r="K24" s="19"/>
      <c r="L24" s="27">
        <v>-58.32</v>
      </c>
      <c r="M24" s="28"/>
      <c r="N24" s="21"/>
      <c r="O24" s="2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26">
        <v>45668.0</v>
      </c>
      <c r="B25" s="27"/>
      <c r="C25" s="27"/>
      <c r="D25" s="19"/>
      <c r="E25" s="27"/>
      <c r="F25" s="27">
        <v>-155.0</v>
      </c>
      <c r="G25" s="19"/>
      <c r="H25" s="19">
        <f>-6.39-155.16-16.99-94.49-149</f>
        <v>-422.03</v>
      </c>
      <c r="I25" s="27">
        <f>-33.66-15.23</f>
        <v>-48.89</v>
      </c>
      <c r="J25" s="19"/>
      <c r="K25" s="27"/>
      <c r="L25" s="27"/>
      <c r="M25" s="28"/>
      <c r="N25" s="21"/>
      <c r="O25" s="2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9.5" customHeight="1">
      <c r="A26" s="26">
        <v>45669.0</v>
      </c>
      <c r="B26" s="27"/>
      <c r="C26" s="27"/>
      <c r="D26" s="19"/>
      <c r="E26" s="27"/>
      <c r="F26" s="27"/>
      <c r="G26" s="27">
        <v>-55.0</v>
      </c>
      <c r="H26" s="19"/>
      <c r="I26" s="27"/>
      <c r="J26" s="19"/>
      <c r="K26" s="19"/>
      <c r="L26" s="27"/>
      <c r="M26" s="28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9.5" customHeight="1">
      <c r="A27" s="26">
        <v>45670.0</v>
      </c>
      <c r="B27" s="27"/>
      <c r="C27" s="27"/>
      <c r="D27" s="19"/>
      <c r="E27" s="27"/>
      <c r="F27" s="27"/>
      <c r="G27" s="27"/>
      <c r="H27" s="27">
        <v>-10.55</v>
      </c>
      <c r="I27" s="27"/>
      <c r="J27" s="19"/>
      <c r="K27" s="27">
        <v>-500.0</v>
      </c>
      <c r="L27" s="27"/>
      <c r="M27" s="30"/>
      <c r="N27" s="30"/>
      <c r="O27" s="2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9.5" customHeight="1">
      <c r="A28" s="26">
        <v>45671.0</v>
      </c>
      <c r="B28" s="27"/>
      <c r="C28" s="27"/>
      <c r="D28" s="19"/>
      <c r="E28" s="19"/>
      <c r="F28" s="27"/>
      <c r="G28" s="27"/>
      <c r="H28" s="27">
        <v>-49.0</v>
      </c>
      <c r="I28" s="27"/>
      <c r="J28" s="19"/>
      <c r="K28" s="19"/>
      <c r="L28" s="27"/>
      <c r="M28" s="31"/>
      <c r="N28" s="30"/>
      <c r="O28" s="2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9.5" customHeight="1">
      <c r="A29" s="26">
        <v>45672.0</v>
      </c>
      <c r="B29" s="27"/>
      <c r="C29" s="27"/>
      <c r="D29" s="19"/>
      <c r="E29" s="19"/>
      <c r="F29" s="27"/>
      <c r="G29" s="27"/>
      <c r="H29" s="19"/>
      <c r="I29" s="27"/>
      <c r="J29" s="19"/>
      <c r="K29" s="19"/>
      <c r="L29" s="19"/>
      <c r="M29" s="31"/>
      <c r="N29" s="30"/>
      <c r="O29" s="2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9.5" customHeight="1">
      <c r="A30" s="26">
        <v>45673.0</v>
      </c>
      <c r="B30" s="27"/>
      <c r="C30" s="27"/>
      <c r="D30" s="19"/>
      <c r="E30" s="27"/>
      <c r="F30" s="27"/>
      <c r="G30" s="27"/>
      <c r="H30" s="27">
        <v>-69.0</v>
      </c>
      <c r="I30" s="27"/>
      <c r="J30" s="19"/>
      <c r="K30" s="19"/>
      <c r="L30" s="19"/>
      <c r="M30" s="31"/>
      <c r="N30" s="30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9.5" customHeight="1">
      <c r="A31" s="26">
        <v>45674.0</v>
      </c>
      <c r="B31" s="27"/>
      <c r="C31" s="27"/>
      <c r="D31" s="19"/>
      <c r="E31" s="27"/>
      <c r="F31" s="27"/>
      <c r="G31" s="27"/>
      <c r="H31" s="19"/>
      <c r="I31" s="19"/>
      <c r="J31" s="19"/>
      <c r="K31" s="27"/>
      <c r="L31" s="27">
        <v>-58.32</v>
      </c>
      <c r="M31" s="30"/>
      <c r="N31" s="30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9.5" customHeight="1">
      <c r="A32" s="26">
        <v>45675.0</v>
      </c>
      <c r="B32" s="19"/>
      <c r="C32" s="27"/>
      <c r="D32" s="13"/>
      <c r="E32" s="27"/>
      <c r="F32" s="27">
        <v>-140.0</v>
      </c>
      <c r="G32" s="27">
        <v>-35.54</v>
      </c>
      <c r="H32" s="19">
        <f>-62.05-86.89-23.47-28.51-3.3</f>
        <v>-204.22</v>
      </c>
      <c r="I32" s="27"/>
      <c r="J32" s="19"/>
      <c r="K32" s="19"/>
      <c r="L32" s="27"/>
      <c r="M32" s="30"/>
      <c r="N32" s="30"/>
      <c r="O32" s="2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9.5" customHeight="1">
      <c r="A33" s="26">
        <v>45676.0</v>
      </c>
      <c r="B33" s="27"/>
      <c r="C33" s="27"/>
      <c r="D33" s="19"/>
      <c r="E33" s="27"/>
      <c r="F33" s="27">
        <v>-55.0</v>
      </c>
      <c r="G33" s="19"/>
      <c r="H33" s="27"/>
      <c r="I33" s="27">
        <v>-47.5</v>
      </c>
      <c r="J33" s="19"/>
      <c r="K33" s="19"/>
      <c r="L33" s="19"/>
      <c r="M33" s="30"/>
      <c r="N33" s="30"/>
      <c r="O33" s="2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9.5" customHeight="1">
      <c r="A34" s="26">
        <v>45677.0</v>
      </c>
      <c r="B34" s="27"/>
      <c r="C34" s="27"/>
      <c r="D34" s="19"/>
      <c r="E34" s="27"/>
      <c r="F34" s="27">
        <v>-2.0</v>
      </c>
      <c r="G34" s="27">
        <f>-40.2-35.13</f>
        <v>-75.33</v>
      </c>
      <c r="H34" s="27">
        <v>-8.59</v>
      </c>
      <c r="I34" s="27">
        <v>-35.0</v>
      </c>
      <c r="J34" s="19"/>
      <c r="K34" s="27"/>
      <c r="L34" s="27">
        <v>-19.74</v>
      </c>
      <c r="M34" s="30"/>
      <c r="N34" s="30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9.5" customHeight="1">
      <c r="A35" s="26">
        <v>45678.0</v>
      </c>
      <c r="B35" s="27"/>
      <c r="C35" s="27"/>
      <c r="D35" s="19"/>
      <c r="E35" s="19"/>
      <c r="F35" s="27"/>
      <c r="G35" s="27">
        <v>-1.24</v>
      </c>
      <c r="H35" s="19"/>
      <c r="I35" s="19"/>
      <c r="J35" s="19"/>
      <c r="K35" s="19"/>
      <c r="L35" s="27"/>
      <c r="M35" s="30"/>
      <c r="N35" s="30"/>
      <c r="O35" s="2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9.5" customHeight="1">
      <c r="A36" s="26">
        <v>45679.0</v>
      </c>
      <c r="B36" s="27"/>
      <c r="C36" s="27"/>
      <c r="D36" s="19"/>
      <c r="E36" s="27"/>
      <c r="F36" s="27"/>
      <c r="G36" s="27">
        <v>-10.2</v>
      </c>
      <c r="H36" s="27"/>
      <c r="I36" s="27"/>
      <c r="J36" s="19"/>
      <c r="K36" s="19"/>
      <c r="L36" s="19"/>
      <c r="M36" s="30"/>
      <c r="N36" s="30"/>
      <c r="O36" s="2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9.5" customHeight="1">
      <c r="A37" s="26">
        <v>45680.0</v>
      </c>
      <c r="B37" s="27"/>
      <c r="C37" s="27"/>
      <c r="D37" s="19"/>
      <c r="E37" s="27"/>
      <c r="F37" s="27">
        <v>-129.0</v>
      </c>
      <c r="G37" s="27"/>
      <c r="H37" s="19">
        <f>-4.82-0.99-32</f>
        <v>-37.81</v>
      </c>
      <c r="I37" s="19"/>
      <c r="J37" s="19"/>
      <c r="K37" s="19"/>
      <c r="L37" s="19"/>
      <c r="M37" s="30"/>
      <c r="N37" s="30"/>
      <c r="O37" s="2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9.5" customHeight="1">
      <c r="A38" s="26">
        <v>45681.0</v>
      </c>
      <c r="B38" s="27"/>
      <c r="C38" s="27"/>
      <c r="D38" s="19"/>
      <c r="E38" s="27"/>
      <c r="F38" s="27">
        <f>-40+540.11</f>
        <v>500.11</v>
      </c>
      <c r="G38" s="27"/>
      <c r="H38" s="27">
        <f>-72.17-4.41-69.63</f>
        <v>-146.21</v>
      </c>
      <c r="I38" s="27">
        <v>-38.0</v>
      </c>
      <c r="J38" s="19"/>
      <c r="K38" s="19"/>
      <c r="L38" s="27">
        <v>-58.32</v>
      </c>
      <c r="M38" s="30"/>
      <c r="N38" s="30"/>
      <c r="O38" s="2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9.5" customHeight="1">
      <c r="A39" s="26">
        <v>45682.0</v>
      </c>
      <c r="B39" s="27"/>
      <c r="C39" s="27"/>
      <c r="D39" s="19"/>
      <c r="E39" s="27"/>
      <c r="F39" s="27">
        <f>-40-15-62.2-64.66</f>
        <v>-181.86</v>
      </c>
      <c r="G39" s="27"/>
      <c r="H39" s="19">
        <f>-19.9-23.2</f>
        <v>-43.1</v>
      </c>
      <c r="I39" s="19"/>
      <c r="J39" s="19"/>
      <c r="K39" s="19"/>
      <c r="L39" s="19"/>
      <c r="M39" s="30"/>
      <c r="N39" s="30"/>
      <c r="O39" s="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9.5" customHeight="1">
      <c r="A40" s="26">
        <v>45683.0</v>
      </c>
      <c r="B40" s="27"/>
      <c r="C40" s="27"/>
      <c r="D40" s="19"/>
      <c r="E40" s="27"/>
      <c r="F40" s="27"/>
      <c r="G40" s="27"/>
      <c r="H40" s="27"/>
      <c r="I40" s="27">
        <f>-74.8-55.93</f>
        <v>-130.73</v>
      </c>
      <c r="J40" s="19"/>
      <c r="K40" s="19"/>
      <c r="L40" s="19"/>
      <c r="M40" s="30"/>
      <c r="N40" s="30"/>
      <c r="O40" s="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9.5" customHeight="1">
      <c r="A41" s="26">
        <v>45684.0</v>
      </c>
      <c r="B41" s="27"/>
      <c r="C41" s="27"/>
      <c r="D41" s="19"/>
      <c r="E41" s="19"/>
      <c r="F41" s="27">
        <v>-55.0</v>
      </c>
      <c r="G41" s="27"/>
      <c r="H41" s="27"/>
      <c r="I41" s="19">
        <f>-11.38-55.7</f>
        <v>-67.08</v>
      </c>
      <c r="J41" s="19"/>
      <c r="K41" s="19"/>
      <c r="L41" s="27"/>
      <c r="M41" s="30"/>
      <c r="N41" s="30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9.5" customHeight="1">
      <c r="A42" s="26">
        <v>45685.0</v>
      </c>
      <c r="B42" s="27"/>
      <c r="C42" s="27"/>
      <c r="D42" s="19"/>
      <c r="E42" s="27"/>
      <c r="F42" s="27"/>
      <c r="G42" s="27">
        <f>-46-64.99</f>
        <v>-110.99</v>
      </c>
      <c r="H42" s="27"/>
      <c r="I42" s="27"/>
      <c r="J42" s="27">
        <v>-5000.0</v>
      </c>
      <c r="K42" s="19"/>
      <c r="L42" s="27"/>
      <c r="M42" s="30"/>
      <c r="N42" s="30"/>
      <c r="O42" s="2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9.5" customHeight="1">
      <c r="A43" s="26">
        <v>45686.0</v>
      </c>
      <c r="B43" s="27"/>
      <c r="C43" s="27"/>
      <c r="D43" s="19"/>
      <c r="E43" s="27"/>
      <c r="F43" s="27">
        <v>-12.0</v>
      </c>
      <c r="G43" s="27"/>
      <c r="H43" s="27">
        <v>-2.75</v>
      </c>
      <c r="I43" s="27">
        <v>-4.0</v>
      </c>
      <c r="J43" s="19"/>
      <c r="K43" s="19"/>
      <c r="L43" s="27">
        <v>-50.0</v>
      </c>
      <c r="M43" s="30"/>
      <c r="N43" s="30"/>
      <c r="O43" s="2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9.5" customHeight="1">
      <c r="A44" s="26">
        <v>45687.0</v>
      </c>
      <c r="B44" s="27"/>
      <c r="C44" s="27"/>
      <c r="D44" s="19"/>
      <c r="E44" s="27"/>
      <c r="F44" s="27"/>
      <c r="G44" s="27"/>
      <c r="H44" s="27">
        <v>-178.99</v>
      </c>
      <c r="I44" s="27">
        <v>-83.0</v>
      </c>
      <c r="J44" s="19"/>
      <c r="K44" s="19"/>
      <c r="L44" s="19"/>
      <c r="M44" s="30"/>
      <c r="N44" s="30"/>
      <c r="O44" s="2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9.5" customHeight="1">
      <c r="A45" s="26">
        <v>45688.0</v>
      </c>
      <c r="B45" s="27"/>
      <c r="C45" s="27"/>
      <c r="D45" s="19"/>
      <c r="E45" s="27"/>
      <c r="F45" s="27"/>
      <c r="G45" s="19"/>
      <c r="H45" s="27">
        <v>-24.6</v>
      </c>
      <c r="I45" s="19"/>
      <c r="J45" s="27"/>
      <c r="K45" s="19"/>
      <c r="L45" s="27">
        <v>-58.32</v>
      </c>
      <c r="M45" s="30"/>
      <c r="N45" s="30"/>
      <c r="O45" s="2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9.5" customHeight="1">
      <c r="A46" s="26">
        <v>45689.0</v>
      </c>
      <c r="B46" s="27"/>
      <c r="C46" s="27"/>
      <c r="D46" s="19"/>
      <c r="E46" s="19"/>
      <c r="F46" s="27"/>
      <c r="G46" s="27">
        <v>-9.99</v>
      </c>
      <c r="H46" s="27">
        <f>-73.38-5.07</f>
        <v>-78.45</v>
      </c>
      <c r="I46" s="19"/>
      <c r="J46" s="19"/>
      <c r="K46" s="19"/>
      <c r="L46" s="27"/>
      <c r="M46" s="30"/>
      <c r="N46" s="3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9.5" customHeight="1">
      <c r="A47" s="26">
        <v>45690.0</v>
      </c>
      <c r="B47" s="27"/>
      <c r="C47" s="27"/>
      <c r="D47" s="19"/>
      <c r="E47" s="27"/>
      <c r="F47" s="27">
        <v>-55.0</v>
      </c>
      <c r="G47" s="27">
        <v>-374.86</v>
      </c>
      <c r="H47" s="27">
        <f>-1.7-81.82-45.07-22.99</f>
        <v>-151.58</v>
      </c>
      <c r="I47" s="19"/>
      <c r="J47" s="27"/>
      <c r="K47" s="27">
        <v>-500.0</v>
      </c>
      <c r="L47" s="27"/>
      <c r="M47" s="30"/>
      <c r="N47" s="3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9.5" customHeight="1">
      <c r="A48" s="26">
        <v>45691.0</v>
      </c>
      <c r="B48" s="27"/>
      <c r="C48" s="27"/>
      <c r="D48" s="19"/>
      <c r="E48" s="27"/>
      <c r="F48" s="27"/>
      <c r="G48" s="27">
        <f>-40.2-35.13</f>
        <v>-75.33</v>
      </c>
      <c r="H48" s="27">
        <v>-40.94</v>
      </c>
      <c r="I48" s="27">
        <v>-51.4</v>
      </c>
      <c r="J48" s="27"/>
      <c r="K48" s="27"/>
      <c r="L48" s="27"/>
      <c r="M48" s="30"/>
      <c r="N48" s="30"/>
      <c r="O48" s="2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9.5" customHeight="1">
      <c r="A49" s="26">
        <v>45692.0</v>
      </c>
      <c r="B49" s="27"/>
      <c r="C49" s="27"/>
      <c r="D49" s="19"/>
      <c r="E49" s="27"/>
      <c r="F49" s="27"/>
      <c r="G49" s="27">
        <v>-165.71</v>
      </c>
      <c r="H49" s="27">
        <v>-16.4</v>
      </c>
      <c r="I49" s="27"/>
      <c r="J49" s="19"/>
      <c r="K49" s="19"/>
      <c r="L49" s="27"/>
      <c r="M49" s="30"/>
      <c r="N49" s="30"/>
      <c r="O49" s="2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9.5" customHeight="1">
      <c r="A50" s="26">
        <v>45693.0</v>
      </c>
      <c r="B50" s="27"/>
      <c r="C50" s="27"/>
      <c r="D50" s="19"/>
      <c r="E50" s="27"/>
      <c r="F50" s="27"/>
      <c r="G50" s="27">
        <v>-29.17</v>
      </c>
      <c r="H50" s="27"/>
      <c r="I50" s="27"/>
      <c r="J50" s="19"/>
      <c r="K50" s="19"/>
      <c r="L50" s="27"/>
      <c r="M50" s="30"/>
      <c r="N50" s="30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9.5" customHeight="1">
      <c r="A51" s="26">
        <v>45694.0</v>
      </c>
      <c r="B51" s="27"/>
      <c r="C51" s="27"/>
      <c r="D51" s="19"/>
      <c r="E51" s="27"/>
      <c r="F51" s="27">
        <v>-26.95</v>
      </c>
      <c r="G51" s="27"/>
      <c r="H51" s="27">
        <f>-47.34-1.64-35.36-24.72</f>
        <v>-109.06</v>
      </c>
      <c r="I51" s="27"/>
      <c r="J51" s="19"/>
      <c r="K51" s="19">
        <f>-sum(756,1385)</f>
        <v>-2141</v>
      </c>
      <c r="M51" s="30"/>
      <c r="N51" s="30"/>
      <c r="O51" s="2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9.5" customHeight="1">
      <c r="A52" s="26">
        <v>45695.0</v>
      </c>
      <c r="B52" s="27"/>
      <c r="C52" s="27"/>
      <c r="D52" s="19"/>
      <c r="E52" s="27">
        <v>-20.0</v>
      </c>
      <c r="F52" s="27"/>
      <c r="G52" s="27">
        <v>-14.99</v>
      </c>
      <c r="H52" s="27"/>
      <c r="I52" s="19"/>
      <c r="J52" s="27">
        <v>-318.0</v>
      </c>
      <c r="K52" s="19"/>
      <c r="L52" s="27">
        <v>-58.32</v>
      </c>
      <c r="M52" s="30"/>
      <c r="N52" s="30"/>
      <c r="O52" s="3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9.5" customHeight="1">
      <c r="A53" s="26">
        <v>45696.0</v>
      </c>
      <c r="B53" s="27"/>
      <c r="C53" s="27"/>
      <c r="D53" s="19"/>
      <c r="E53" s="27"/>
      <c r="F53" s="27">
        <v>-119.0</v>
      </c>
      <c r="G53" s="27"/>
      <c r="H53" s="27">
        <f>-33.16-29.15-16.4</f>
        <v>-78.71</v>
      </c>
      <c r="I53" s="27"/>
      <c r="J53" s="19"/>
      <c r="K53" s="19"/>
      <c r="L53" s="19"/>
      <c r="M53" s="30"/>
      <c r="N53" s="30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9.5" customHeight="1">
      <c r="A54" s="26">
        <v>45697.0</v>
      </c>
      <c r="B54" s="27"/>
      <c r="C54" s="27"/>
      <c r="D54" s="19"/>
      <c r="E54" s="27"/>
      <c r="F54" s="27">
        <v>-55.0</v>
      </c>
      <c r="G54" s="27"/>
      <c r="H54" s="27"/>
      <c r="I54" s="27">
        <f>-6.5-22.35-12.2</f>
        <v>-41.05</v>
      </c>
      <c r="J54" s="19"/>
      <c r="K54" s="19"/>
      <c r="L54" s="19"/>
      <c r="M54" s="30"/>
      <c r="N54" s="3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9.5" customHeight="1">
      <c r="A55" s="26">
        <v>45698.0</v>
      </c>
      <c r="B55" s="27"/>
      <c r="C55" s="27"/>
      <c r="D55" s="19"/>
      <c r="E55" s="19"/>
      <c r="F55" s="27"/>
      <c r="G55" s="27"/>
      <c r="H55" s="27"/>
      <c r="I55" s="27"/>
      <c r="J55" s="19"/>
      <c r="K55" s="19"/>
      <c r="L55" s="27"/>
      <c r="M55" s="30"/>
      <c r="N55" s="30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9.5" customHeight="1">
      <c r="A56" s="26">
        <v>45699.0</v>
      </c>
      <c r="B56" s="19"/>
      <c r="C56" s="27"/>
      <c r="D56" s="19"/>
      <c r="E56" s="19"/>
      <c r="F56" s="27">
        <v>-97.0</v>
      </c>
      <c r="G56" s="19"/>
      <c r="H56" s="39">
        <v>-12.45</v>
      </c>
      <c r="I56" s="27"/>
      <c r="J56" s="19"/>
      <c r="K56" s="19"/>
      <c r="L56" s="27"/>
      <c r="M56" s="30"/>
      <c r="N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9.5" customHeight="1">
      <c r="A57" s="26">
        <v>45700.0</v>
      </c>
      <c r="B57" s="27"/>
      <c r="C57" s="27"/>
      <c r="D57" s="19"/>
      <c r="E57" s="27">
        <v>-10.0</v>
      </c>
      <c r="F57" s="19"/>
      <c r="G57" s="19"/>
      <c r="H57" s="27">
        <v>-43.0</v>
      </c>
      <c r="I57" s="27">
        <v>-22.5</v>
      </c>
      <c r="J57" s="27">
        <v>280.0</v>
      </c>
      <c r="K57" s="19"/>
      <c r="L57" s="19"/>
      <c r="M57" s="30"/>
      <c r="N57" s="30"/>
      <c r="O57" s="3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9.5" customHeight="1">
      <c r="A58" s="26">
        <v>45701.0</v>
      </c>
      <c r="B58" s="27"/>
      <c r="C58" s="27"/>
      <c r="D58" s="19"/>
      <c r="E58" s="27"/>
      <c r="F58" s="27">
        <f>-182.66-6.39</f>
        <v>-189.05</v>
      </c>
      <c r="G58" s="27"/>
      <c r="H58" s="27"/>
      <c r="I58" s="19"/>
      <c r="J58" s="27"/>
      <c r="K58" s="19"/>
      <c r="L58" s="27">
        <v>-50.0</v>
      </c>
      <c r="M58" s="30"/>
      <c r="N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9.5" customHeight="1">
      <c r="A59" s="26">
        <v>45702.0</v>
      </c>
      <c r="B59" s="27"/>
      <c r="C59" s="27"/>
      <c r="D59" s="19"/>
      <c r="E59" s="27"/>
      <c r="F59" s="27">
        <v>-4.0</v>
      </c>
      <c r="G59" s="27"/>
      <c r="H59" s="27"/>
      <c r="I59" s="27"/>
      <c r="J59" s="19"/>
      <c r="K59" s="27"/>
      <c r="L59" s="27">
        <v>-58.32</v>
      </c>
      <c r="M59" s="30"/>
      <c r="N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9.5" customHeight="1">
      <c r="A60" s="26">
        <v>45703.0</v>
      </c>
      <c r="B60" s="27"/>
      <c r="C60" s="27"/>
      <c r="D60" s="19"/>
      <c r="E60" s="27"/>
      <c r="F60" s="27"/>
      <c r="G60" s="27"/>
      <c r="H60" s="27">
        <f>-6-37.56-20.58-83.97</f>
        <v>-148.11</v>
      </c>
      <c r="I60" s="27">
        <v>-55.81</v>
      </c>
      <c r="J60" s="19"/>
      <c r="K60" s="19"/>
      <c r="L60" s="27"/>
      <c r="M60" s="30"/>
      <c r="N60" s="30"/>
      <c r="O60" s="2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9.5" customHeight="1">
      <c r="A61" s="26">
        <v>45704.0</v>
      </c>
      <c r="B61" s="27"/>
      <c r="C61" s="27"/>
      <c r="D61" s="19"/>
      <c r="E61" s="33"/>
      <c r="F61" s="19"/>
      <c r="G61" s="27">
        <v>-55.0</v>
      </c>
      <c r="H61" s="27"/>
      <c r="I61" s="27"/>
      <c r="J61" s="19"/>
      <c r="K61" s="19"/>
      <c r="L61" s="27"/>
      <c r="M61" s="30"/>
      <c r="N61" s="30"/>
      <c r="O61" s="2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9.5" customHeight="1">
      <c r="A62" s="26">
        <v>45705.0</v>
      </c>
      <c r="B62" s="27"/>
      <c r="C62" s="27"/>
      <c r="D62" s="19"/>
      <c r="E62" s="27"/>
      <c r="F62" s="27">
        <f>-3.6-25.35</f>
        <v>-28.95</v>
      </c>
      <c r="G62" s="27">
        <f>-35.1-40.2-35.13</f>
        <v>-110.43</v>
      </c>
      <c r="H62" s="27">
        <v>-16.25</v>
      </c>
      <c r="I62" s="27">
        <v>-42.0</v>
      </c>
      <c r="J62" s="19"/>
      <c r="K62" s="19"/>
      <c r="L62" s="19"/>
      <c r="M62" s="30"/>
      <c r="N62" s="30"/>
      <c r="O62" s="2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9.5" customHeight="1">
      <c r="A63" s="26">
        <v>45706.0</v>
      </c>
      <c r="B63" s="27"/>
      <c r="C63" s="27"/>
      <c r="D63" s="19"/>
      <c r="E63" s="27"/>
      <c r="F63" s="27"/>
      <c r="G63" s="19"/>
      <c r="H63" s="27"/>
      <c r="I63" s="27"/>
      <c r="J63" s="19"/>
      <c r="K63" s="19"/>
      <c r="L63" s="27"/>
      <c r="M63" s="30"/>
      <c r="N63" s="30"/>
      <c r="O63" s="2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9.5" customHeight="1">
      <c r="A64" s="26">
        <v>45707.0</v>
      </c>
      <c r="B64" s="27"/>
      <c r="C64" s="27"/>
      <c r="D64" s="19"/>
      <c r="E64" s="19"/>
      <c r="F64" s="27"/>
      <c r="G64" s="27">
        <v>-1.23</v>
      </c>
      <c r="H64" s="27"/>
      <c r="I64" s="27">
        <v>-33.9</v>
      </c>
      <c r="J64" s="19"/>
      <c r="K64" s="19"/>
      <c r="L64" s="19"/>
      <c r="M64" s="30"/>
      <c r="N64" s="30"/>
      <c r="O64" s="2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9.5" customHeight="1">
      <c r="A65" s="26">
        <v>45708.0</v>
      </c>
      <c r="B65" s="27"/>
      <c r="C65" s="27"/>
      <c r="D65" s="19"/>
      <c r="E65" s="19"/>
      <c r="F65" s="27">
        <v>-15.75</v>
      </c>
      <c r="G65" s="27"/>
      <c r="H65" s="19">
        <f>-11-47.88-7.09-133.72</f>
        <v>-199.69</v>
      </c>
      <c r="I65" s="19"/>
      <c r="J65" s="19"/>
      <c r="K65" s="19"/>
      <c r="L65" s="19"/>
      <c r="M65" s="30"/>
      <c r="N65" s="30"/>
      <c r="O65" s="2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9.5" customHeight="1">
      <c r="A66" s="26">
        <v>45709.0</v>
      </c>
      <c r="B66" s="27"/>
      <c r="C66" s="27"/>
      <c r="D66" s="19"/>
      <c r="E66" s="19"/>
      <c r="F66" s="27"/>
      <c r="G66" s="27"/>
      <c r="H66" s="27">
        <f t="shared" ref="H66:H67" si="20">-11.9-30.59</f>
        <v>-42.49</v>
      </c>
      <c r="I66" s="27">
        <v>-5.4</v>
      </c>
      <c r="J66" s="19"/>
      <c r="K66" s="19"/>
      <c r="L66" s="27">
        <v>-58.32</v>
      </c>
      <c r="M66" s="30"/>
      <c r="N66" s="30"/>
      <c r="O66" s="2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9.5" customHeight="1">
      <c r="A67" s="26">
        <v>45710.0</v>
      </c>
      <c r="B67" s="27"/>
      <c r="C67" s="27"/>
      <c r="D67" s="19"/>
      <c r="E67" s="27"/>
      <c r="F67" s="27">
        <v>-15.85</v>
      </c>
      <c r="H67" s="27">
        <f t="shared" si="20"/>
        <v>-42.49</v>
      </c>
      <c r="I67" s="19"/>
      <c r="J67" s="19"/>
      <c r="K67" s="19"/>
      <c r="L67" s="19"/>
      <c r="M67" s="30"/>
      <c r="N67" s="30"/>
      <c r="O67" s="2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9.5" customHeight="1">
      <c r="A68" s="26">
        <v>45711.0</v>
      </c>
      <c r="B68" s="27"/>
      <c r="C68" s="27"/>
      <c r="D68" s="19"/>
      <c r="E68" s="27"/>
      <c r="F68" s="27"/>
      <c r="G68" s="27">
        <v>-55.0</v>
      </c>
      <c r="H68">
        <f>-12.5-4.5</f>
        <v>-17</v>
      </c>
      <c r="I68" s="27">
        <v>-6.5</v>
      </c>
      <c r="J68" s="19"/>
      <c r="K68" s="19"/>
      <c r="L68" s="27"/>
      <c r="M68" s="30"/>
      <c r="N68" s="30"/>
      <c r="O68" s="2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9.5" customHeight="1">
      <c r="A69" s="26">
        <v>45712.0</v>
      </c>
      <c r="B69" s="27"/>
      <c r="C69" s="27"/>
      <c r="D69" s="19"/>
      <c r="E69" s="27"/>
      <c r="F69" s="27"/>
      <c r="G69" s="27">
        <f>-64.99-10.2</f>
        <v>-75.19</v>
      </c>
      <c r="H69" s="19">
        <f>-25-6.49-64.7</f>
        <v>-96.19</v>
      </c>
      <c r="I69" s="27">
        <v>-43.8</v>
      </c>
      <c r="J69" s="19"/>
      <c r="K69" s="19"/>
      <c r="L69" s="27"/>
      <c r="M69" s="30"/>
      <c r="N69" s="30"/>
      <c r="O69" s="2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9.5" customHeight="1">
      <c r="A70" s="26">
        <v>45713.0</v>
      </c>
      <c r="B70" s="27"/>
      <c r="C70" s="27"/>
      <c r="D70" s="19"/>
      <c r="E70" s="27"/>
      <c r="F70" s="27"/>
      <c r="G70" s="27"/>
      <c r="H70" s="27">
        <v>-14.9</v>
      </c>
      <c r="I70" s="27"/>
      <c r="J70" s="19"/>
      <c r="K70" s="27"/>
      <c r="L70" s="27"/>
      <c r="M70" s="30"/>
      <c r="N70" s="30"/>
      <c r="O70" s="2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9.5" customHeight="1">
      <c r="A71" s="26">
        <v>45714.0</v>
      </c>
      <c r="B71" s="27"/>
      <c r="C71" s="27"/>
      <c r="D71" s="19"/>
      <c r="E71" s="27"/>
      <c r="F71" s="27"/>
      <c r="G71" s="27"/>
      <c r="H71" s="27"/>
      <c r="I71" s="27">
        <v>-27.41</v>
      </c>
      <c r="J71" s="19"/>
      <c r="K71" s="19"/>
      <c r="L71" s="19"/>
      <c r="M71" s="30"/>
      <c r="N71" s="30"/>
      <c r="O71" s="2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9.5" customHeight="1">
      <c r="A72" s="26">
        <v>45715.0</v>
      </c>
      <c r="B72" s="27"/>
      <c r="C72" s="27"/>
      <c r="D72" s="19"/>
      <c r="E72" s="19"/>
      <c r="F72" s="27"/>
      <c r="G72" s="27"/>
      <c r="H72" s="27">
        <v>-45.4</v>
      </c>
      <c r="I72" s="27"/>
      <c r="J72" s="27"/>
      <c r="K72" s="19"/>
      <c r="L72" s="19"/>
      <c r="M72" s="30"/>
      <c r="N72" s="30"/>
      <c r="O72" s="2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9.5" customHeight="1">
      <c r="A73" s="26">
        <v>45716.0</v>
      </c>
      <c r="B73" s="27"/>
      <c r="C73" s="27"/>
      <c r="D73" s="19"/>
      <c r="E73" s="27"/>
      <c r="F73" s="19"/>
      <c r="G73" s="27">
        <f>-526-46</f>
        <v>-572</v>
      </c>
      <c r="H73" s="27">
        <f>-6.1-3.95-34.01-110.98</f>
        <v>-155.04</v>
      </c>
      <c r="I73" s="27">
        <v>-47.16</v>
      </c>
      <c r="J73" s="27"/>
      <c r="K73" s="19"/>
      <c r="L73" s="27">
        <v>-58.32</v>
      </c>
      <c r="M73" s="30"/>
      <c r="N73" s="30"/>
      <c r="O73" s="2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9.5" customHeight="1">
      <c r="A74" s="26">
        <v>45717.0</v>
      </c>
      <c r="B74" s="19"/>
      <c r="C74" s="27"/>
      <c r="D74" s="19"/>
      <c r="E74" s="27"/>
      <c r="F74" s="27">
        <f>-14.99-9.15</f>
        <v>-24.14</v>
      </c>
      <c r="G74" s="27">
        <v>-9.99</v>
      </c>
      <c r="H74" s="19"/>
      <c r="I74" s="19"/>
      <c r="J74" s="19"/>
      <c r="K74" s="19"/>
      <c r="L74" s="27"/>
      <c r="M74" s="30"/>
      <c r="N74" s="3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9.5" customHeight="1">
      <c r="A75" s="26">
        <v>45718.0</v>
      </c>
      <c r="B75" s="19"/>
      <c r="C75" s="27"/>
      <c r="D75" s="19"/>
      <c r="E75" s="19"/>
      <c r="F75" s="27"/>
      <c r="G75" s="27">
        <v>-55.0</v>
      </c>
      <c r="H75" s="27"/>
      <c r="I75" s="27">
        <v>-16.29</v>
      </c>
      <c r="J75" s="19"/>
      <c r="K75" s="27"/>
      <c r="L75" s="19"/>
      <c r="M75" s="30"/>
      <c r="N75" s="3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9.5" customHeight="1">
      <c r="A76" s="26">
        <v>45719.0</v>
      </c>
      <c r="B76" s="19"/>
      <c r="C76" s="27"/>
      <c r="D76" s="19"/>
      <c r="E76" s="27"/>
      <c r="F76" s="27"/>
      <c r="G76" s="27">
        <f>-40.2-35.13</f>
        <v>-75.33</v>
      </c>
      <c r="I76" s="27"/>
      <c r="J76" s="27"/>
      <c r="K76" s="19"/>
      <c r="L76" s="27"/>
      <c r="M76" s="30"/>
      <c r="N76" s="3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9.5" customHeight="1">
      <c r="A77" s="26">
        <v>45720.0</v>
      </c>
      <c r="B77" s="19"/>
      <c r="C77" s="27"/>
      <c r="D77" s="19"/>
      <c r="E77" s="19"/>
      <c r="G77" s="27"/>
      <c r="H77" s="29"/>
      <c r="I77" s="27"/>
      <c r="J77" s="19"/>
      <c r="K77" s="27"/>
      <c r="L77" s="27"/>
      <c r="M77" s="30"/>
      <c r="N77" s="3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9.5" customHeight="1">
      <c r="A78" s="26">
        <v>45721.0</v>
      </c>
      <c r="B78" s="19"/>
      <c r="C78" s="27"/>
      <c r="D78" s="19"/>
      <c r="E78" s="19"/>
      <c r="F78" s="27">
        <v>-29.17</v>
      </c>
      <c r="G78" s="27"/>
      <c r="H78" s="19">
        <f>-40.75-31.28-1.86-12.87</f>
        <v>-86.76</v>
      </c>
      <c r="I78" s="19"/>
      <c r="J78" s="19"/>
      <c r="K78" s="27"/>
      <c r="L78" s="19"/>
      <c r="M78" s="30"/>
      <c r="N78" s="3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9.5" customHeight="1">
      <c r="A79" s="26">
        <v>45722.0</v>
      </c>
      <c r="B79" s="19"/>
      <c r="C79" s="27"/>
      <c r="D79" s="19"/>
      <c r="E79" s="27"/>
      <c r="F79" s="27"/>
      <c r="G79" s="27"/>
      <c r="H79" s="27"/>
      <c r="I79" s="27"/>
      <c r="J79" s="19"/>
      <c r="K79" s="27">
        <f>-1385-756-500</f>
        <v>-2641</v>
      </c>
      <c r="L79" s="27"/>
      <c r="M79" s="30"/>
      <c r="N79" s="3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9.5" customHeight="1">
      <c r="A80" s="26">
        <v>45723.0</v>
      </c>
      <c r="B80" s="19"/>
      <c r="C80" s="27"/>
      <c r="D80" s="19"/>
      <c r="E80" s="27"/>
      <c r="F80" s="27"/>
      <c r="G80" s="27">
        <v>-14.99</v>
      </c>
      <c r="H80" s="27"/>
      <c r="I80" s="27">
        <v>-68.0</v>
      </c>
      <c r="J80" s="19"/>
      <c r="K80" s="19"/>
      <c r="L80" s="27">
        <v>-58.32</v>
      </c>
      <c r="M80" s="30"/>
      <c r="N80" s="3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9.5" customHeight="1">
      <c r="A81" s="26">
        <v>45724.0</v>
      </c>
      <c r="B81" s="19"/>
      <c r="C81" s="27"/>
      <c r="D81" s="19"/>
      <c r="E81" s="27"/>
      <c r="F81" s="27"/>
      <c r="G81" s="27"/>
      <c r="H81" s="27">
        <v>-23.4</v>
      </c>
      <c r="I81" s="27"/>
      <c r="J81" s="27"/>
      <c r="K81" s="19"/>
      <c r="L81" s="27"/>
      <c r="M81" s="30"/>
      <c r="N81" s="3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9.5" customHeight="1">
      <c r="A82" s="26">
        <v>45725.0</v>
      </c>
      <c r="B82" s="19"/>
      <c r="C82" s="27"/>
      <c r="D82" s="19"/>
      <c r="E82" s="19"/>
      <c r="F82" s="27">
        <v>-10.0</v>
      </c>
      <c r="G82" s="27">
        <v>-55.0</v>
      </c>
      <c r="H82" s="27">
        <v>-7.62</v>
      </c>
      <c r="I82" s="27"/>
      <c r="J82" s="19"/>
      <c r="K82" s="19"/>
      <c r="L82" s="19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9.5" customHeight="1">
      <c r="A83" s="26">
        <v>45726.0</v>
      </c>
      <c r="B83" s="19"/>
      <c r="C83" s="27"/>
      <c r="D83" s="19"/>
      <c r="E83" s="27"/>
      <c r="F83" s="27"/>
      <c r="G83" s="27"/>
      <c r="H83" s="27">
        <f>-79.03-2.99-2-0.78</f>
        <v>-84.8</v>
      </c>
      <c r="I83" s="19"/>
      <c r="J83" s="19"/>
      <c r="K83" s="19"/>
      <c r="L83" s="27"/>
      <c r="M83" s="30"/>
      <c r="N83" s="3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9.5" customHeight="1">
      <c r="A84" s="26">
        <v>45727.0</v>
      </c>
      <c r="B84" s="19"/>
      <c r="C84" s="27"/>
      <c r="D84" s="19"/>
      <c r="E84" s="27"/>
      <c r="F84" s="27">
        <v>-21.97</v>
      </c>
      <c r="G84" s="27"/>
      <c r="H84" s="27">
        <f>-4.45-26.24-34.34-24.62</f>
        <v>-89.65</v>
      </c>
      <c r="I84" s="27"/>
      <c r="J84" s="19"/>
      <c r="K84" s="19"/>
      <c r="L84" s="27"/>
      <c r="M84" s="30"/>
      <c r="N84" s="3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9.5" customHeight="1">
      <c r="A85" s="26">
        <v>45728.0</v>
      </c>
      <c r="B85" s="19"/>
      <c r="C85" s="27"/>
      <c r="D85" s="19"/>
      <c r="E85" s="27"/>
      <c r="F85" s="27"/>
      <c r="G85" s="19"/>
      <c r="H85" s="19"/>
      <c r="I85" s="27"/>
      <c r="J85" s="19"/>
      <c r="K85" s="19"/>
      <c r="L85" s="19"/>
      <c r="M85" s="30"/>
      <c r="N85" s="3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9.5" customHeight="1">
      <c r="A86" s="26">
        <v>45729.0</v>
      </c>
      <c r="B86" s="19"/>
      <c r="C86" s="27"/>
      <c r="D86" s="19"/>
      <c r="E86" s="27"/>
      <c r="F86" s="27"/>
      <c r="G86" s="27"/>
      <c r="H86" s="27"/>
      <c r="I86" s="27"/>
      <c r="J86" s="19"/>
      <c r="K86" s="27"/>
      <c r="L86" s="27">
        <v>-5.63</v>
      </c>
      <c r="M86" s="30"/>
      <c r="N86" s="3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9.5" customHeight="1">
      <c r="A87" s="26">
        <v>45730.0</v>
      </c>
      <c r="B87" s="19"/>
      <c r="C87" s="27"/>
      <c r="D87" s="19"/>
      <c r="E87" s="27"/>
      <c r="F87" s="27"/>
      <c r="G87" s="27"/>
      <c r="H87" s="27">
        <v>-7.5</v>
      </c>
      <c r="I87" s="27">
        <v>-43.85</v>
      </c>
      <c r="J87" s="19"/>
      <c r="K87" s="19"/>
      <c r="L87" s="27">
        <v>-58.32</v>
      </c>
      <c r="M87" s="30"/>
      <c r="N87" s="3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9.5" customHeight="1">
      <c r="A88" s="26">
        <v>45731.0</v>
      </c>
      <c r="B88" s="19"/>
      <c r="C88" s="27"/>
      <c r="D88" s="19"/>
      <c r="E88" s="27"/>
      <c r="F88" s="39">
        <v>-5.0</v>
      </c>
      <c r="G88" s="27"/>
      <c r="H88" s="19">
        <f>-15.16-51.66-53.2</f>
        <v>-120.02</v>
      </c>
      <c r="I88" s="27"/>
      <c r="J88" s="19"/>
      <c r="K88" s="19"/>
      <c r="L88" s="27"/>
      <c r="M88" s="30"/>
      <c r="N88" s="3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9.5" customHeight="1">
      <c r="A89" s="26">
        <v>45732.0</v>
      </c>
      <c r="B89" s="19"/>
      <c r="C89" s="27"/>
      <c r="D89" s="19"/>
      <c r="E89" s="27"/>
      <c r="F89" s="27"/>
      <c r="G89" s="27">
        <f>-12-55</f>
        <v>-67</v>
      </c>
      <c r="H89" s="27"/>
      <c r="I89" s="27"/>
      <c r="J89" s="19"/>
      <c r="K89" s="19"/>
      <c r="L89" s="27"/>
      <c r="M89" s="30"/>
      <c r="N89" s="3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9.5" customHeight="1">
      <c r="A90" s="26">
        <v>45733.0</v>
      </c>
      <c r="B90" s="19"/>
      <c r="C90" s="27"/>
      <c r="D90" s="19"/>
      <c r="E90" s="19"/>
      <c r="F90" s="27"/>
      <c r="G90" s="27">
        <f>-40.2-35.13</f>
        <v>-75.33</v>
      </c>
      <c r="H90" s="27"/>
      <c r="I90" s="27"/>
      <c r="J90" s="19"/>
      <c r="K90" s="19"/>
      <c r="L90" s="27"/>
      <c r="M90" s="30"/>
      <c r="N90" s="30"/>
      <c r="O90" s="2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9.5" customHeight="1">
      <c r="A91" s="26">
        <v>45734.0</v>
      </c>
      <c r="B91" s="19"/>
      <c r="C91" s="27"/>
      <c r="D91" s="19"/>
      <c r="E91" s="27"/>
      <c r="F91" s="27"/>
      <c r="G91" s="27">
        <v>-35.07</v>
      </c>
      <c r="H91" s="19">
        <f>-25.2-52.49-84.03</f>
        <v>-161.72</v>
      </c>
      <c r="I91" s="19"/>
      <c r="J91" s="19"/>
      <c r="K91" s="27"/>
      <c r="L91" s="27"/>
      <c r="M91" s="30"/>
      <c r="N91" s="3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9.5" customHeight="1">
      <c r="A92" s="26">
        <v>45735.0</v>
      </c>
      <c r="B92" s="19"/>
      <c r="C92" s="27"/>
      <c r="D92" s="19"/>
      <c r="E92" s="19"/>
      <c r="F92" s="27">
        <v>-12.0</v>
      </c>
      <c r="G92" s="27">
        <v>-1.23</v>
      </c>
      <c r="H92" s="19"/>
      <c r="I92" s="27">
        <v>-9.5</v>
      </c>
      <c r="J92" s="19"/>
      <c r="K92" s="27"/>
      <c r="L92" s="27">
        <v>-13.14</v>
      </c>
      <c r="M92" s="30"/>
      <c r="N92" s="3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9.5" customHeight="1">
      <c r="A93" s="26">
        <v>45736.0</v>
      </c>
      <c r="B93" s="19"/>
      <c r="C93" s="27"/>
      <c r="D93" s="19"/>
      <c r="E93" s="27"/>
      <c r="F93" s="27"/>
      <c r="G93" s="27"/>
      <c r="H93" s="27">
        <v>-30.7</v>
      </c>
      <c r="I93" s="27"/>
      <c r="J93" s="19"/>
      <c r="K93" s="27"/>
      <c r="L93" s="19"/>
      <c r="M93" s="30"/>
      <c r="N93" s="3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9.5" customHeight="1">
      <c r="A94" s="26">
        <v>45737.0</v>
      </c>
      <c r="B94" s="19"/>
      <c r="C94" s="27"/>
      <c r="D94" s="19"/>
      <c r="E94" s="27"/>
      <c r="F94" s="27"/>
      <c r="G94" s="27"/>
      <c r="H94" s="19"/>
      <c r="I94" s="27">
        <v>-45.21</v>
      </c>
      <c r="J94" s="19"/>
      <c r="K94" s="27"/>
      <c r="L94" s="27">
        <v>-58.32</v>
      </c>
      <c r="M94" s="30"/>
      <c r="N94" s="3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9.5" customHeight="1">
      <c r="A95" s="26">
        <v>45738.0</v>
      </c>
      <c r="B95" s="19"/>
      <c r="C95" s="27"/>
      <c r="D95" s="19"/>
      <c r="E95" s="27"/>
      <c r="F95" s="27">
        <v>5</v>
      </c>
      <c r="G95" s="27"/>
      <c r="H95" s="27">
        <f>-3.8-9.66-47.65-54.81-135.07-6.4</f>
        <v>-257.39</v>
      </c>
      <c r="I95" s="19"/>
      <c r="J95" s="19"/>
      <c r="K95" s="19"/>
      <c r="L95" s="19"/>
      <c r="M95" s="30"/>
      <c r="N95" s="3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9.5" customHeight="1">
      <c r="A96" s="26">
        <v>45739.0</v>
      </c>
      <c r="B96" s="19"/>
      <c r="C96" s="27"/>
      <c r="D96" s="19"/>
      <c r="E96" s="27"/>
      <c r="F96" s="27">
        <v>5</v>
      </c>
      <c r="G96" s="27">
        <v>-55.0</v>
      </c>
      <c r="H96" s="19"/>
      <c r="I96" s="27">
        <f>-6-4.5-29-4-5</f>
        <v>-48.5</v>
      </c>
      <c r="J96" s="19"/>
      <c r="K96" s="27"/>
      <c r="L96" s="19"/>
      <c r="M96" s="30"/>
      <c r="N96" s="3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9.5" customHeight="1">
      <c r="A97" s="26">
        <v>45740.0</v>
      </c>
      <c r="B97" s="19"/>
      <c r="C97" s="27"/>
      <c r="D97" s="19"/>
      <c r="E97" s="19"/>
      <c r="F97" s="27"/>
      <c r="G97" s="27">
        <v>-10.2</v>
      </c>
      <c r="H97" s="19">
        <f>-77.7-7.37</f>
        <v>-85.07</v>
      </c>
      <c r="I97" s="27"/>
      <c r="J97" s="19"/>
      <c r="K97" s="19"/>
      <c r="L97" s="27"/>
      <c r="M97" s="30"/>
      <c r="N97" s="3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9.5" customHeight="1">
      <c r="A98" s="26">
        <v>45741.0</v>
      </c>
      <c r="B98" s="19"/>
      <c r="C98" s="27"/>
      <c r="D98" s="19"/>
      <c r="E98" s="19"/>
      <c r="G98" s="27">
        <v>-64.99</v>
      </c>
      <c r="H98" s="27">
        <v>-1.6</v>
      </c>
      <c r="I98" s="27"/>
      <c r="J98" s="27"/>
      <c r="K98" s="19"/>
      <c r="L98" s="27">
        <v>-50.0</v>
      </c>
      <c r="M98" s="30"/>
      <c r="N98" s="3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9.5" customHeight="1">
      <c r="A99" s="26">
        <v>45742.0</v>
      </c>
      <c r="B99" s="19"/>
      <c r="C99" s="27"/>
      <c r="D99" s="19"/>
      <c r="E99" s="27"/>
      <c r="F99" s="27"/>
      <c r="G99" s="27">
        <v>-806.6</v>
      </c>
      <c r="H99" s="19"/>
      <c r="I99" s="27"/>
      <c r="J99" s="27">
        <v>-5000.0</v>
      </c>
      <c r="K99" s="19"/>
      <c r="L99" s="19"/>
      <c r="M99" s="30"/>
      <c r="N99" s="3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9.5" customHeight="1">
      <c r="A100" s="26">
        <v>45743.0</v>
      </c>
      <c r="B100" s="19"/>
      <c r="C100" s="27"/>
      <c r="D100" s="19"/>
      <c r="E100" s="27"/>
      <c r="F100" s="27">
        <v>25.51</v>
      </c>
      <c r="G100" s="27">
        <v>-1720.86</v>
      </c>
      <c r="H100" s="27">
        <v>-75.0</v>
      </c>
      <c r="I100" s="27"/>
      <c r="J100" s="19"/>
      <c r="K100" s="19"/>
      <c r="L100" s="19"/>
      <c r="M100" s="30"/>
      <c r="N100" s="3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9.5" customHeight="1">
      <c r="A101" s="26">
        <v>45744.0</v>
      </c>
      <c r="B101" s="19"/>
      <c r="C101" s="27"/>
      <c r="D101" s="19"/>
      <c r="E101" s="19"/>
      <c r="F101" s="27">
        <v>-35.0</v>
      </c>
      <c r="G101" s="27">
        <v>-46.0</v>
      </c>
      <c r="H101" s="27">
        <f>-2.5-2.9-38.28-15</f>
        <v>-58.68</v>
      </c>
      <c r="I101" s="27">
        <v>-38.57</v>
      </c>
      <c r="J101" s="19"/>
      <c r="K101" s="19"/>
      <c r="L101" s="27">
        <v>-58.32</v>
      </c>
      <c r="M101" s="30"/>
      <c r="N101" s="3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9.5" customHeight="1">
      <c r="A102" s="26">
        <v>45745.0</v>
      </c>
      <c r="B102" s="19"/>
      <c r="C102" s="27"/>
      <c r="D102" s="19"/>
      <c r="E102" s="19"/>
      <c r="F102" s="27"/>
      <c r="G102" s="27"/>
      <c r="H102" s="19">
        <f>-56.85-31.66-41.62</f>
        <v>-130.13</v>
      </c>
      <c r="I102" s="27"/>
      <c r="J102" s="19"/>
      <c r="K102" s="19"/>
      <c r="L102" s="19"/>
      <c r="M102" s="30"/>
      <c r="N102" s="3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9.5" customHeight="1">
      <c r="A103" s="26">
        <v>45746.0</v>
      </c>
      <c r="B103" s="19"/>
      <c r="C103" s="27"/>
      <c r="D103" s="19"/>
      <c r="E103" s="19"/>
      <c r="F103" s="27">
        <v>-28.9</v>
      </c>
      <c r="G103" s="27">
        <v>-55.0</v>
      </c>
      <c r="H103" s="27">
        <f>-10.47</f>
        <v>-10.47</v>
      </c>
      <c r="I103" s="27"/>
      <c r="J103" s="19"/>
      <c r="K103" s="19"/>
      <c r="L103" s="19"/>
      <c r="M103" s="30"/>
      <c r="N103" s="3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9.5" customHeight="1">
      <c r="A104" s="26">
        <v>45747.0</v>
      </c>
      <c r="B104" s="19"/>
      <c r="C104" s="27"/>
      <c r="D104" s="19"/>
      <c r="E104" s="27"/>
      <c r="F104" s="27">
        <v>15.75</v>
      </c>
      <c r="G104" s="27">
        <f>-35.13-40.2</f>
        <v>-75.33</v>
      </c>
      <c r="H104" s="19"/>
      <c r="I104" s="27"/>
      <c r="J104" s="19"/>
      <c r="K104" s="19"/>
      <c r="L104" s="27"/>
      <c r="M104" s="30"/>
      <c r="N104" s="3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9.5" customHeight="1">
      <c r="A105" s="26">
        <v>45748.0</v>
      </c>
      <c r="B105" s="19"/>
      <c r="C105" s="27"/>
      <c r="D105" s="19"/>
      <c r="E105" s="27"/>
      <c r="F105" s="27"/>
      <c r="G105" s="27">
        <f>-9.99</f>
        <v>-9.99</v>
      </c>
      <c r="H105" s="19"/>
      <c r="I105" s="27"/>
      <c r="J105" s="19"/>
      <c r="K105" s="19"/>
      <c r="L105" s="27"/>
      <c r="M105" s="30"/>
      <c r="N105" s="3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9.5" customHeight="1">
      <c r="A106" s="26">
        <v>45749.0</v>
      </c>
      <c r="B106" s="19"/>
      <c r="C106" s="27"/>
      <c r="D106" s="19"/>
      <c r="E106" s="19"/>
      <c r="F106" s="27"/>
      <c r="G106" s="19"/>
      <c r="H106" s="19"/>
      <c r="I106" s="27"/>
      <c r="J106" s="19"/>
      <c r="K106" s="19"/>
      <c r="L106" s="27"/>
      <c r="M106" s="30"/>
      <c r="N106" s="3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9.5" customHeight="1">
      <c r="A107" s="26">
        <v>45750.0</v>
      </c>
      <c r="B107" s="19"/>
      <c r="C107" s="27"/>
      <c r="D107" s="19"/>
      <c r="E107" s="27"/>
      <c r="F107" s="27"/>
      <c r="G107" s="27"/>
      <c r="H107" s="19"/>
      <c r="I107" s="27"/>
      <c r="J107" s="19"/>
      <c r="K107" s="27"/>
      <c r="L107" s="19"/>
      <c r="M107" s="30"/>
      <c r="N107" s="3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9.5" customHeight="1">
      <c r="A108" s="26">
        <v>45751.0</v>
      </c>
      <c r="B108" s="19"/>
      <c r="C108" s="27"/>
      <c r="D108" s="19"/>
      <c r="E108" s="19"/>
      <c r="F108" s="27">
        <v>195.71</v>
      </c>
      <c r="G108" s="27"/>
      <c r="H108" s="19">
        <f>-85.82-33.3-55.2</f>
        <v>-174.32</v>
      </c>
      <c r="I108" s="19"/>
      <c r="J108" s="19"/>
      <c r="K108" s="19"/>
      <c r="L108" s="27">
        <v>-58.32</v>
      </c>
      <c r="M108" s="30"/>
      <c r="N108" s="3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9.5" customHeight="1">
      <c r="A109" s="26">
        <v>45752.0</v>
      </c>
      <c r="B109" s="19"/>
      <c r="C109" s="27"/>
      <c r="D109" s="19"/>
      <c r="E109" s="19"/>
      <c r="F109" s="27"/>
      <c r="G109" s="27"/>
      <c r="H109" s="27">
        <f>-39.01-8.87</f>
        <v>-47.88</v>
      </c>
      <c r="I109" s="27"/>
      <c r="J109" s="19"/>
      <c r="K109" s="27"/>
      <c r="L109" s="27"/>
      <c r="M109" s="30"/>
      <c r="N109" s="3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9.5" customHeight="1">
      <c r="A110" s="26">
        <v>45753.0</v>
      </c>
      <c r="B110" s="19"/>
      <c r="C110" s="27"/>
      <c r="D110" s="19"/>
      <c r="E110" s="19"/>
      <c r="F110" s="27"/>
      <c r="G110" s="27">
        <v>-55.0</v>
      </c>
      <c r="H110" s="19">
        <f>-81.98-13.58-75.88</f>
        <v>-171.44</v>
      </c>
      <c r="I110" s="27">
        <v>-5.0</v>
      </c>
      <c r="J110" s="19"/>
      <c r="K110" s="19"/>
      <c r="L110" s="19"/>
      <c r="M110" s="30"/>
      <c r="N110" s="3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9.5" customHeight="1">
      <c r="A111" s="26">
        <v>45754.0</v>
      </c>
      <c r="B111" s="19"/>
      <c r="C111" s="27"/>
      <c r="D111" s="19"/>
      <c r="E111" s="27"/>
      <c r="F111" s="27"/>
      <c r="G111" s="27">
        <f>-29.17-124.21-14.99</f>
        <v>-168.37</v>
      </c>
      <c r="H111" s="27"/>
      <c r="I111" s="27"/>
      <c r="J111" s="19"/>
      <c r="K111" s="19">
        <f>-756-1385-500</f>
        <v>-2641</v>
      </c>
      <c r="L111" s="19"/>
      <c r="M111" s="30"/>
      <c r="N111" s="3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9.5" customHeight="1">
      <c r="A112" s="26">
        <v>45755.0</v>
      </c>
      <c r="B112" s="19"/>
      <c r="C112" s="27"/>
      <c r="D112" s="19"/>
      <c r="E112" s="19"/>
      <c r="F112" s="27"/>
      <c r="G112" s="27"/>
      <c r="H112" s="27">
        <v>-34.45</v>
      </c>
      <c r="I112" s="19"/>
      <c r="J112" s="19"/>
      <c r="K112" s="19"/>
      <c r="L112" s="27"/>
      <c r="M112" s="30"/>
      <c r="N112" s="3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9.5" customHeight="1">
      <c r="A113" s="26">
        <v>45756.0</v>
      </c>
      <c r="B113" s="19"/>
      <c r="C113" s="27"/>
      <c r="D113" s="19"/>
      <c r="E113" s="27"/>
      <c r="F113" s="27"/>
      <c r="G113" s="27"/>
      <c r="H113" s="27">
        <f>-3.04-42.5</f>
        <v>-45.54</v>
      </c>
      <c r="I113" s="27"/>
      <c r="J113" s="19"/>
      <c r="K113" s="19"/>
      <c r="L113" s="19"/>
      <c r="M113" s="30"/>
      <c r="N113" s="3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9.5" customHeight="1">
      <c r="A114" s="26">
        <v>45757.0</v>
      </c>
      <c r="B114" s="19"/>
      <c r="C114" s="27"/>
      <c r="D114" s="19"/>
      <c r="E114" s="27"/>
      <c r="F114" s="27">
        <v>-17.47</v>
      </c>
      <c r="G114" s="27"/>
      <c r="H114" s="19"/>
      <c r="I114" s="29"/>
      <c r="J114" s="19"/>
      <c r="K114" s="19"/>
      <c r="L114" s="27">
        <v>-50.0</v>
      </c>
      <c r="M114" s="30"/>
      <c r="N114" s="3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9.5" customHeight="1">
      <c r="A115" s="26">
        <v>45758.0</v>
      </c>
      <c r="B115" s="19"/>
      <c r="C115" s="27"/>
      <c r="D115" s="19"/>
      <c r="E115" s="27"/>
      <c r="F115" s="27">
        <f>-16.65-30.32</f>
        <v>-46.97</v>
      </c>
      <c r="G115" s="27"/>
      <c r="H115" s="27">
        <f>-27.21-26.43</f>
        <v>-53.64</v>
      </c>
      <c r="I115" s="27"/>
      <c r="J115" s="19"/>
      <c r="K115" s="19"/>
      <c r="L115" s="27">
        <v>-58.32</v>
      </c>
      <c r="M115" s="30"/>
      <c r="N115" s="3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9.5" customHeight="1">
      <c r="A116" s="26">
        <v>45759.0</v>
      </c>
      <c r="B116" s="19"/>
      <c r="C116" s="27"/>
      <c r="D116" s="19"/>
      <c r="E116" s="27"/>
      <c r="F116" s="27">
        <v>-25.0</v>
      </c>
      <c r="G116" s="27"/>
      <c r="H116" s="27"/>
      <c r="I116" s="27"/>
      <c r="J116" s="19"/>
      <c r="K116" s="19"/>
      <c r="L116" s="27"/>
      <c r="M116" s="30"/>
      <c r="N116" s="3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9.5" customHeight="1">
      <c r="A117" s="26">
        <v>45760.0</v>
      </c>
      <c r="B117" s="19"/>
      <c r="C117" s="27"/>
      <c r="D117" s="19"/>
      <c r="E117" s="27"/>
      <c r="F117" s="27"/>
      <c r="G117" s="27">
        <v>-55.0</v>
      </c>
      <c r="H117" s="27">
        <f>-10.85-46</f>
        <v>-56.85</v>
      </c>
      <c r="I117" s="27"/>
      <c r="J117" s="19"/>
      <c r="K117" s="27"/>
      <c r="L117" s="19"/>
      <c r="M117" s="30"/>
      <c r="N117" s="3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9.5" customHeight="1">
      <c r="A118" s="26">
        <v>45761.0</v>
      </c>
      <c r="B118" s="19"/>
      <c r="C118" s="27"/>
      <c r="D118" s="19"/>
      <c r="E118" s="27"/>
      <c r="F118" s="27"/>
      <c r="G118" s="27">
        <f>-40.2-35.97</f>
        <v>-76.17</v>
      </c>
      <c r="H118" s="27">
        <f>-5.8-32.19</f>
        <v>-37.99</v>
      </c>
      <c r="I118" s="27">
        <v>-40.0</v>
      </c>
      <c r="J118" s="19"/>
      <c r="K118" s="27"/>
      <c r="L118" s="19"/>
      <c r="M118" s="30"/>
      <c r="N118" s="3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9.5" customHeight="1">
      <c r="A119" s="26">
        <v>45762.0</v>
      </c>
      <c r="B119" s="19"/>
      <c r="C119" s="27"/>
      <c r="D119" s="19"/>
      <c r="E119" s="27"/>
      <c r="F119" s="27">
        <v>-156.99</v>
      </c>
      <c r="G119" s="27"/>
      <c r="H119" s="27">
        <v>-17.4</v>
      </c>
      <c r="I119" s="19">
        <f>-17.73-22.79</f>
        <v>-40.52</v>
      </c>
      <c r="J119" s="19"/>
      <c r="K119" s="27"/>
      <c r="L119" s="19"/>
      <c r="M119" s="30"/>
      <c r="N119" s="3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9.5" customHeight="1">
      <c r="A120" s="26">
        <v>45763.0</v>
      </c>
      <c r="B120" s="19"/>
      <c r="C120" s="27"/>
      <c r="D120" s="19"/>
      <c r="E120" s="27"/>
      <c r="F120" s="27">
        <v>-16.5</v>
      </c>
      <c r="G120" s="27"/>
      <c r="H120" s="27">
        <f>-3-35.53</f>
        <v>-38.53</v>
      </c>
      <c r="I120" s="27">
        <v>-36.82</v>
      </c>
      <c r="J120" s="19"/>
      <c r="K120" s="19"/>
      <c r="L120" s="19"/>
      <c r="M120" s="30"/>
      <c r="N120" s="3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9.5" customHeight="1">
      <c r="A121" s="26">
        <v>45764.0</v>
      </c>
      <c r="B121" s="19"/>
      <c r="C121" s="27"/>
      <c r="D121" s="19"/>
      <c r="E121" s="27"/>
      <c r="F121" s="27"/>
      <c r="G121" s="27">
        <v>-34.8</v>
      </c>
      <c r="H121" s="27"/>
      <c r="I121" s="27">
        <v>-112.49</v>
      </c>
      <c r="J121" s="19"/>
      <c r="K121" s="19"/>
      <c r="L121" s="19"/>
      <c r="M121" s="30"/>
      <c r="N121" s="3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9.5" customHeight="1">
      <c r="A122" s="26">
        <v>45765.0</v>
      </c>
      <c r="B122" s="19"/>
      <c r="C122" s="27"/>
      <c r="D122" s="19"/>
      <c r="E122" s="27"/>
      <c r="F122" s="27"/>
      <c r="G122" s="27"/>
      <c r="H122" s="27">
        <f>-86.78-54.26</f>
        <v>-141.04</v>
      </c>
      <c r="I122" s="27">
        <v>-10.15</v>
      </c>
      <c r="J122" s="19"/>
      <c r="K122" s="19"/>
      <c r="L122" s="19"/>
      <c r="M122" s="30"/>
      <c r="N122" s="3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9.5" customHeight="1">
      <c r="A123" s="26">
        <v>45766.0</v>
      </c>
      <c r="B123" s="19"/>
      <c r="C123" s="27"/>
      <c r="D123" s="19"/>
      <c r="E123" s="19"/>
      <c r="F123" s="27"/>
      <c r="G123" s="27"/>
      <c r="H123" s="39">
        <v>-171.96</v>
      </c>
      <c r="I123" s="19"/>
      <c r="J123" s="19"/>
      <c r="K123" s="27"/>
      <c r="L123" s="27"/>
      <c r="M123" s="30"/>
      <c r="N123" s="3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9.5" customHeight="1">
      <c r="A124" s="26">
        <v>45767.0</v>
      </c>
      <c r="B124" s="19"/>
      <c r="C124" s="27"/>
      <c r="D124" s="19"/>
      <c r="E124" s="27"/>
      <c r="F124" s="27">
        <v>-2.0</v>
      </c>
      <c r="G124" s="27">
        <v>-55.0</v>
      </c>
      <c r="H124" s="27">
        <v>-38.63</v>
      </c>
      <c r="I124" s="27"/>
      <c r="J124" s="19"/>
      <c r="K124" s="19"/>
      <c r="L124" s="19"/>
      <c r="M124" s="30"/>
      <c r="N124" s="3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9.5" customHeight="1">
      <c r="A125" s="26">
        <v>45768.0</v>
      </c>
      <c r="B125" s="19"/>
      <c r="C125" s="27"/>
      <c r="D125" s="19"/>
      <c r="E125" s="19"/>
      <c r="F125" s="27"/>
      <c r="G125" s="27"/>
      <c r="H125" s="27"/>
      <c r="I125" s="19"/>
      <c r="J125" s="19"/>
      <c r="K125" s="19"/>
      <c r="L125" s="19"/>
      <c r="M125" s="30"/>
      <c r="N125" s="3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9.5" customHeight="1">
      <c r="A126" s="26">
        <v>45769.0</v>
      </c>
      <c r="B126" s="19"/>
      <c r="C126" s="27"/>
      <c r="D126" s="19"/>
      <c r="E126" s="19"/>
      <c r="F126" s="27"/>
      <c r="G126" s="27"/>
      <c r="H126" s="27">
        <f>-26.36-5.84</f>
        <v>-32.2</v>
      </c>
      <c r="I126" s="27">
        <v>-4.6</v>
      </c>
      <c r="J126" s="19"/>
      <c r="K126" s="19"/>
      <c r="L126" s="27">
        <v>-58.32</v>
      </c>
      <c r="M126" s="30"/>
      <c r="N126" s="3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9.5" customHeight="1">
      <c r="A127" s="26">
        <v>45770.0</v>
      </c>
      <c r="B127" s="19"/>
      <c r="C127" s="27"/>
      <c r="D127" s="19"/>
      <c r="E127" s="27">
        <v>-5.6</v>
      </c>
      <c r="F127" s="27">
        <f>-60.96-56.67</f>
        <v>-117.63</v>
      </c>
      <c r="G127" s="27">
        <f>-1.22-10.2</f>
        <v>-11.42</v>
      </c>
      <c r="H127" s="27">
        <v>-164.0</v>
      </c>
      <c r="I127" s="27">
        <f>-39.8-8.3-8</f>
        <v>-56.1</v>
      </c>
      <c r="J127" s="19"/>
      <c r="K127" s="27"/>
      <c r="L127" s="27"/>
      <c r="M127" s="30"/>
      <c r="N127" s="3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9.5" customHeight="1">
      <c r="A128" s="26">
        <v>45771.0</v>
      </c>
      <c r="B128" s="19"/>
      <c r="C128" s="27"/>
      <c r="D128" s="19"/>
      <c r="E128" s="19"/>
      <c r="F128" s="27">
        <f>-8.2-5.49-2-46.96</f>
        <v>-62.65</v>
      </c>
      <c r="G128" s="27">
        <v>-64.99</v>
      </c>
      <c r="H128" s="39">
        <v>-55.35</v>
      </c>
      <c r="I128" s="27">
        <f>-27.5-41.66</f>
        <v>-69.16</v>
      </c>
      <c r="J128" s="19"/>
      <c r="K128" s="27"/>
      <c r="L128" s="27"/>
      <c r="M128" s="30"/>
      <c r="N128" s="3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9.5" customHeight="1">
      <c r="A129" s="26">
        <v>45772.0</v>
      </c>
      <c r="B129" s="19"/>
      <c r="C129" s="27"/>
      <c r="D129" s="19"/>
      <c r="E129" s="27"/>
      <c r="F129" s="27"/>
      <c r="G129" s="27"/>
      <c r="H129" s="27">
        <f>-31.4-39</f>
        <v>-70.4</v>
      </c>
      <c r="I129" s="27"/>
      <c r="J129" s="19"/>
      <c r="K129" s="19"/>
      <c r="L129" s="27"/>
      <c r="M129" s="30"/>
      <c r="N129" s="3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9.5" customHeight="1">
      <c r="A130" s="26">
        <v>45773.0</v>
      </c>
      <c r="B130" s="19"/>
      <c r="C130" s="27"/>
      <c r="D130" s="19"/>
      <c r="E130" s="27"/>
      <c r="F130" s="27">
        <f>-7-204.9-7-25</f>
        <v>-243.9</v>
      </c>
      <c r="G130" s="27"/>
      <c r="H130" s="27">
        <f>-7-7.5-10.2-67.54</f>
        <v>-92.24</v>
      </c>
      <c r="I130" s="27"/>
      <c r="J130" s="19"/>
      <c r="K130" s="19"/>
      <c r="L130" s="27"/>
      <c r="M130" s="30"/>
      <c r="N130" s="3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9.5" customHeight="1">
      <c r="A131" s="26">
        <v>45774.0</v>
      </c>
      <c r="B131" s="19"/>
      <c r="C131" s="27"/>
      <c r="D131" s="19"/>
      <c r="E131" s="27"/>
      <c r="F131" s="27">
        <f>-91-5.5-7.99</f>
        <v>-104.49</v>
      </c>
      <c r="G131" s="27">
        <v>-55.0</v>
      </c>
      <c r="H131" s="27"/>
      <c r="I131" s="27">
        <f>-11.5-13.66-7.87</f>
        <v>-33.03</v>
      </c>
      <c r="J131" s="19"/>
      <c r="K131" s="27"/>
      <c r="L131" s="19"/>
      <c r="M131" s="30"/>
      <c r="N131" s="3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9.5" customHeight="1">
      <c r="A132" s="26">
        <v>45775.0</v>
      </c>
      <c r="B132" s="19"/>
      <c r="C132" s="27"/>
      <c r="D132" s="19"/>
      <c r="E132" s="27"/>
      <c r="F132" s="27">
        <v>-6.0</v>
      </c>
      <c r="G132" s="27">
        <f>-46-40.2-35.97</f>
        <v>-122.17</v>
      </c>
      <c r="H132" s="27">
        <v>-16.65</v>
      </c>
      <c r="I132" s="27">
        <v>-4.6</v>
      </c>
      <c r="J132" s="19"/>
      <c r="K132" s="19"/>
      <c r="L132" s="27">
        <v>-58.32</v>
      </c>
      <c r="M132" s="30"/>
      <c r="N132" s="3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9.5" customHeight="1">
      <c r="A133" s="26">
        <v>45776.0</v>
      </c>
      <c r="B133" s="19"/>
      <c r="C133" s="27"/>
      <c r="D133" s="19"/>
      <c r="E133" s="19"/>
      <c r="F133" s="27">
        <v>-11.15</v>
      </c>
      <c r="G133" s="27"/>
      <c r="H133" s="27">
        <v>-45.41</v>
      </c>
      <c r="I133" s="27"/>
      <c r="J133" s="19"/>
      <c r="K133" s="19"/>
      <c r="L133" s="27"/>
      <c r="M133" s="30"/>
      <c r="N133" s="3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9.5" customHeight="1">
      <c r="A134" s="26">
        <v>45777.0</v>
      </c>
      <c r="B134" s="19"/>
      <c r="C134" s="27"/>
      <c r="D134" s="19"/>
      <c r="E134" s="19"/>
      <c r="F134" s="19"/>
      <c r="G134" s="27"/>
      <c r="H134" s="27">
        <f>-4.5-35.05-9.03</f>
        <v>-48.58</v>
      </c>
      <c r="I134" s="27"/>
      <c r="J134" s="19"/>
      <c r="K134" s="19"/>
      <c r="L134" s="27"/>
      <c r="M134" s="30"/>
      <c r="N134" s="3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9.5" customHeight="1">
      <c r="A135" s="26">
        <v>45778.0</v>
      </c>
      <c r="B135" s="19"/>
      <c r="C135" s="27"/>
      <c r="D135" s="19"/>
      <c r="E135" s="27"/>
      <c r="F135" s="27"/>
      <c r="G135" s="27">
        <v>-9.99</v>
      </c>
      <c r="H135" s="27">
        <f>-38.61</f>
        <v>-38.61</v>
      </c>
      <c r="I135" s="27"/>
      <c r="J135" s="19"/>
      <c r="K135" s="19"/>
      <c r="L135" s="27"/>
      <c r="M135" s="30"/>
      <c r="N135" s="3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9.5" customHeight="1">
      <c r="A136" s="26">
        <v>45779.0</v>
      </c>
      <c r="B136" s="19"/>
      <c r="C136" s="27"/>
      <c r="D136" s="19"/>
      <c r="E136" s="19"/>
      <c r="F136" s="27">
        <v>-4.5</v>
      </c>
      <c r="G136" s="27"/>
      <c r="H136" s="19"/>
      <c r="I136" s="27"/>
      <c r="J136" s="19"/>
      <c r="K136" s="19"/>
      <c r="L136" s="27">
        <v>-58.32</v>
      </c>
      <c r="M136" s="30"/>
      <c r="N136" s="3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9.5" customHeight="1">
      <c r="A137" s="26">
        <v>45780.0</v>
      </c>
      <c r="B137" s="19"/>
      <c r="C137" s="27"/>
      <c r="D137" s="19"/>
      <c r="E137" s="27">
        <v>-50.0</v>
      </c>
      <c r="F137" s="27">
        <v>-2.82</v>
      </c>
      <c r="G137" s="27"/>
      <c r="H137" s="19">
        <f>-10-9.8-32.02</f>
        <v>-51.82</v>
      </c>
      <c r="I137" s="27"/>
      <c r="J137" s="19"/>
      <c r="K137" s="27">
        <v>-500.0</v>
      </c>
      <c r="L137" s="27"/>
      <c r="M137" s="30"/>
      <c r="N137" s="3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9.5" customHeight="1">
      <c r="A138" s="26">
        <v>45781.0</v>
      </c>
      <c r="B138" s="19"/>
      <c r="C138" s="27"/>
      <c r="D138" s="19"/>
      <c r="E138" s="27"/>
      <c r="F138" s="27"/>
      <c r="G138" s="27">
        <v>-55.0</v>
      </c>
      <c r="H138" s="19">
        <f>-28.5-0.9-12.1-60.65-6.3</f>
        <v>-108.45</v>
      </c>
      <c r="I138" s="27">
        <f>-7.61-1.54-42.63</f>
        <v>-51.78</v>
      </c>
      <c r="J138" s="19"/>
      <c r="K138" s="19"/>
      <c r="L138" s="19"/>
      <c r="M138" s="30"/>
      <c r="N138" s="3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9.5" customHeight="1">
      <c r="A139" s="26">
        <v>45782.0</v>
      </c>
      <c r="B139" s="19"/>
      <c r="C139" s="27"/>
      <c r="D139" s="19"/>
      <c r="E139" s="19"/>
      <c r="F139" s="19"/>
      <c r="G139" s="27">
        <v>-29.17</v>
      </c>
      <c r="H139" s="27"/>
      <c r="I139" s="27">
        <v>-53.64</v>
      </c>
      <c r="J139" s="19"/>
      <c r="K139" s="19"/>
      <c r="L139" s="27"/>
      <c r="M139" s="30"/>
      <c r="N139" s="3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9.5" customHeight="1">
      <c r="A140" s="26">
        <v>45783.0</v>
      </c>
      <c r="B140" s="19"/>
      <c r="C140" s="27"/>
      <c r="D140" s="19"/>
      <c r="E140" s="19"/>
      <c r="F140" s="27"/>
      <c r="G140" s="27"/>
      <c r="H140" s="27">
        <v>-71.9</v>
      </c>
      <c r="I140" s="19"/>
      <c r="J140" s="19"/>
      <c r="K140" s="19">
        <f>-756-1385</f>
        <v>-2141</v>
      </c>
      <c r="L140" s="27"/>
      <c r="M140" s="30"/>
      <c r="N140" s="3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9.5" customHeight="1">
      <c r="A141" s="26">
        <v>45784.0</v>
      </c>
      <c r="B141" s="19"/>
      <c r="C141" s="27"/>
      <c r="D141" s="19"/>
      <c r="E141" s="19"/>
      <c r="F141" s="27">
        <v>-20.0</v>
      </c>
      <c r="G141" s="27">
        <v>-14.99</v>
      </c>
      <c r="H141" s="27">
        <v>-77.4</v>
      </c>
      <c r="I141" s="19"/>
      <c r="J141" s="19"/>
      <c r="K141" s="27"/>
      <c r="L141" s="27">
        <v>-40.0</v>
      </c>
      <c r="M141" s="30"/>
      <c r="N141" s="3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9.5" customHeight="1">
      <c r="A142" s="26">
        <v>45785.0</v>
      </c>
      <c r="B142" s="19"/>
      <c r="C142" s="27"/>
      <c r="D142" s="19"/>
      <c r="E142" s="19"/>
      <c r="F142" s="27"/>
      <c r="G142" s="27"/>
      <c r="H142" s="27"/>
      <c r="I142" s="27"/>
      <c r="J142" s="19"/>
      <c r="K142" s="19"/>
      <c r="L142" s="19"/>
      <c r="M142" s="30"/>
      <c r="N142" s="3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9.5" customHeight="1">
      <c r="A143" s="26">
        <v>45786.0</v>
      </c>
      <c r="B143" s="19"/>
      <c r="C143" s="27"/>
      <c r="D143" s="19"/>
      <c r="E143" s="27"/>
      <c r="F143" s="27">
        <f>-200+44.4+44.4</f>
        <v>-111.2</v>
      </c>
      <c r="G143" s="27"/>
      <c r="H143" s="27">
        <f>-48.89-135.7</f>
        <v>-184.59</v>
      </c>
      <c r="I143" s="27">
        <v>-31.09</v>
      </c>
      <c r="J143" s="19"/>
      <c r="K143" s="19"/>
      <c r="L143" s="27">
        <v>-58.32</v>
      </c>
      <c r="M143" s="30"/>
      <c r="N143" s="3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9.5" customHeight="1">
      <c r="A144" s="26">
        <v>45787.0</v>
      </c>
      <c r="B144" s="19"/>
      <c r="C144" s="27"/>
      <c r="D144" s="19"/>
      <c r="E144" s="27"/>
      <c r="F144" s="27"/>
      <c r="G144" s="27"/>
      <c r="H144" s="27">
        <f>-107-34.99+27.99</f>
        <v>-114</v>
      </c>
      <c r="I144" s="27"/>
      <c r="J144" s="19"/>
      <c r="K144" s="27"/>
      <c r="L144" s="27"/>
      <c r="M144" s="30"/>
      <c r="N144" s="3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9.5" customHeight="1">
      <c r="A145" s="26">
        <v>45788.0</v>
      </c>
      <c r="B145" s="19"/>
      <c r="C145" s="27"/>
      <c r="D145" s="19"/>
      <c r="E145" s="27"/>
      <c r="F145" s="27">
        <v>-6.5</v>
      </c>
      <c r="G145" s="27">
        <v>-55.0</v>
      </c>
      <c r="H145" s="27">
        <v>-2.2</v>
      </c>
      <c r="I145" s="27">
        <f>-3.5-5-5.65-15.14-2.2</f>
        <v>-31.49</v>
      </c>
      <c r="J145" s="19"/>
      <c r="K145" s="19"/>
      <c r="L145" s="27"/>
      <c r="M145" s="30"/>
      <c r="N145" s="3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9.5" customHeight="1">
      <c r="A146" s="26">
        <v>45789.0</v>
      </c>
      <c r="B146" s="19"/>
      <c r="C146" s="27"/>
      <c r="D146" s="19"/>
      <c r="E146" s="19"/>
      <c r="F146" s="27">
        <v>-15.75</v>
      </c>
      <c r="G146" s="19">
        <f>-40.2-35.97</f>
        <v>-76.17</v>
      </c>
      <c r="H146" s="27">
        <v>-15.0</v>
      </c>
      <c r="I146" s="27">
        <v>-4.6</v>
      </c>
      <c r="J146" s="19"/>
      <c r="K146" s="19"/>
      <c r="L146" s="27"/>
      <c r="M146" s="30"/>
      <c r="N146" s="3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9.5" customHeight="1">
      <c r="A147" s="26">
        <v>45790.0</v>
      </c>
      <c r="B147" s="19"/>
      <c r="C147" s="27"/>
      <c r="D147" s="19"/>
      <c r="E147" s="27"/>
      <c r="F147" s="27"/>
      <c r="G147" s="27"/>
      <c r="H147" s="19"/>
      <c r="I147" s="27"/>
      <c r="J147" s="19"/>
      <c r="K147" s="19"/>
      <c r="L147" s="27"/>
      <c r="M147" s="30"/>
      <c r="N147" s="3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9.5" customHeight="1">
      <c r="A148" s="26">
        <v>45791.0</v>
      </c>
      <c r="B148" s="19"/>
      <c r="C148" s="27"/>
      <c r="D148" s="19"/>
      <c r="E148" s="27"/>
      <c r="F148" s="27">
        <v>-13.99</v>
      </c>
      <c r="G148" s="27"/>
      <c r="H148" s="27">
        <f>-77.2-13.99</f>
        <v>-91.19</v>
      </c>
      <c r="I148" s="27">
        <v>-23.0</v>
      </c>
      <c r="J148" s="19"/>
      <c r="K148" s="19"/>
      <c r="L148" s="19"/>
      <c r="M148" s="30"/>
      <c r="N148" s="3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9.5" customHeight="1">
      <c r="A149" s="26">
        <v>45792.0</v>
      </c>
      <c r="B149" s="19"/>
      <c r="C149" s="27"/>
      <c r="D149" s="19"/>
      <c r="E149" s="27"/>
      <c r="F149" s="27"/>
      <c r="G149" s="27">
        <v>-34.45</v>
      </c>
      <c r="H149" s="27">
        <f>-15.8-31.64</f>
        <v>-47.44</v>
      </c>
      <c r="I149" s="27">
        <f>-30.36-36.1</f>
        <v>-66.46</v>
      </c>
      <c r="J149" s="19"/>
      <c r="K149" s="19"/>
      <c r="L149" s="19"/>
      <c r="M149" s="30"/>
      <c r="N149" s="3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9.5" customHeight="1">
      <c r="A150" s="26">
        <v>45793.0</v>
      </c>
      <c r="B150" s="19"/>
      <c r="C150" s="27"/>
      <c r="D150" s="19"/>
      <c r="E150" s="19"/>
      <c r="F150" s="27"/>
      <c r="G150" s="27">
        <v>-185.0</v>
      </c>
      <c r="H150" s="19"/>
      <c r="I150" s="27">
        <v>-47.75</v>
      </c>
      <c r="J150" s="19"/>
      <c r="K150" s="27"/>
      <c r="L150" s="27">
        <v>-58.32</v>
      </c>
      <c r="M150" s="30"/>
      <c r="N150" s="3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9.5" customHeight="1">
      <c r="A151" s="26">
        <v>45794.0</v>
      </c>
      <c r="B151" s="19"/>
      <c r="C151" s="27"/>
      <c r="D151" s="19"/>
      <c r="E151" s="19"/>
      <c r="F151" s="27"/>
      <c r="G151" s="27"/>
      <c r="H151" s="27">
        <f>-21.32-68.31</f>
        <v>-89.63</v>
      </c>
      <c r="I151" s="27"/>
      <c r="J151" s="19"/>
      <c r="K151" s="19"/>
      <c r="L151" s="19"/>
      <c r="M151" s="30"/>
      <c r="N151" s="3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9.5" customHeight="1">
      <c r="A152" s="26">
        <v>45795.0</v>
      </c>
      <c r="B152" s="19"/>
      <c r="C152" s="27"/>
      <c r="D152" s="19"/>
      <c r="E152" s="27"/>
      <c r="F152" s="27"/>
      <c r="G152" s="27">
        <v>-55.0</v>
      </c>
      <c r="H152" s="19"/>
      <c r="I152" s="27"/>
      <c r="J152" s="19"/>
      <c r="K152" s="27"/>
      <c r="L152" s="27"/>
      <c r="M152" s="30"/>
      <c r="N152" s="3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29" t="s">
        <v>12</v>
      </c>
    </row>
    <row r="153" ht="19.5" customHeight="1">
      <c r="A153" s="26">
        <v>45796.0</v>
      </c>
      <c r="B153" s="19"/>
      <c r="C153" s="27"/>
      <c r="D153" s="19"/>
      <c r="E153" s="27"/>
      <c r="F153" s="27"/>
      <c r="G153" s="19"/>
      <c r="H153" s="27">
        <v>-11.7</v>
      </c>
      <c r="I153" s="27"/>
      <c r="J153" s="19"/>
      <c r="K153" s="19"/>
      <c r="L153" s="27"/>
      <c r="M153" s="30"/>
      <c r="N153" s="3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9.5" customHeight="1">
      <c r="A154" s="26">
        <v>45797.0</v>
      </c>
      <c r="B154" s="19"/>
      <c r="C154" s="27"/>
      <c r="D154" s="19"/>
      <c r="E154" s="27"/>
      <c r="F154" s="27"/>
      <c r="G154" s="27">
        <v>-1.21</v>
      </c>
      <c r="H154" s="27">
        <v>-62.1</v>
      </c>
      <c r="I154" s="27"/>
      <c r="J154" s="19"/>
      <c r="K154" s="19"/>
      <c r="L154" s="27">
        <v>-50.0</v>
      </c>
      <c r="M154" s="30"/>
      <c r="N154" s="3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9.5" customHeight="1">
      <c r="A155" s="26">
        <v>45798.0</v>
      </c>
      <c r="B155" s="19"/>
      <c r="C155" s="27"/>
      <c r="D155" s="19"/>
      <c r="E155" s="19"/>
      <c r="F155" s="27">
        <v>-3.0</v>
      </c>
      <c r="G155" s="19"/>
      <c r="H155" s="27"/>
      <c r="I155" s="27"/>
      <c r="J155" s="19"/>
      <c r="K155" s="19"/>
      <c r="L155" s="27"/>
      <c r="M155" s="30"/>
      <c r="N155" s="3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9.5" customHeight="1">
      <c r="A156" s="26">
        <v>45799.0</v>
      </c>
      <c r="B156" s="19"/>
      <c r="C156" s="27"/>
      <c r="D156" s="19"/>
      <c r="E156" s="27"/>
      <c r="F156" s="27"/>
      <c r="G156" s="27">
        <v>-10.2</v>
      </c>
      <c r="H156" s="27"/>
      <c r="I156" s="27"/>
      <c r="J156" s="19"/>
      <c r="K156" s="27"/>
      <c r="L156" s="19"/>
      <c r="M156" s="30"/>
      <c r="N156" s="3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9.5" customHeight="1">
      <c r="A157" s="26">
        <v>45800.0</v>
      </c>
      <c r="B157" s="19"/>
      <c r="C157" s="27"/>
      <c r="D157" s="19"/>
      <c r="E157" s="19"/>
      <c r="F157" s="27"/>
      <c r="G157" s="27">
        <v>-334.25</v>
      </c>
      <c r="H157" s="27">
        <f>-50.02-124.08</f>
        <v>-174.1</v>
      </c>
      <c r="I157" s="27">
        <f>-4.6-51</f>
        <v>-55.6</v>
      </c>
      <c r="J157" s="19"/>
      <c r="K157" s="19"/>
      <c r="L157" s="27">
        <v>-58.32</v>
      </c>
      <c r="M157" s="30"/>
      <c r="N157" s="3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9.5" customHeight="1">
      <c r="A158" s="26">
        <v>45801.0</v>
      </c>
      <c r="B158" s="19"/>
      <c r="C158" s="27"/>
      <c r="D158" s="19"/>
      <c r="E158" s="27">
        <v>-20.0</v>
      </c>
      <c r="F158" s="27"/>
      <c r="G158" s="27"/>
      <c r="H158" s="27">
        <f>-34.64-4.5-19</f>
        <v>-58.14</v>
      </c>
      <c r="I158" s="27"/>
      <c r="J158" s="19"/>
      <c r="K158" s="27"/>
      <c r="L158" s="27"/>
      <c r="M158" s="30"/>
      <c r="N158" s="3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9.5" customHeight="1">
      <c r="A159" s="26">
        <v>45802.0</v>
      </c>
      <c r="B159" s="19"/>
      <c r="C159" s="27"/>
      <c r="D159" s="19"/>
      <c r="E159" s="27"/>
      <c r="F159" s="27"/>
      <c r="G159" s="27">
        <f>-64.99-55</f>
        <v>-119.99</v>
      </c>
      <c r="H159" s="27"/>
      <c r="I159" s="27">
        <v>-9.8</v>
      </c>
      <c r="J159" s="19"/>
      <c r="K159" s="19"/>
      <c r="L159" s="19"/>
      <c r="M159" s="30"/>
      <c r="N159" s="3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9.5" customHeight="1">
      <c r="A160" s="26">
        <v>45803.0</v>
      </c>
      <c r="B160" s="19"/>
      <c r="C160" s="27"/>
      <c r="D160" s="19"/>
      <c r="E160" s="27"/>
      <c r="F160" s="27">
        <v>-54.61</v>
      </c>
      <c r="G160" s="27">
        <f>40.2+35.97</f>
        <v>76.17</v>
      </c>
      <c r="H160" s="27">
        <f>-23.55-45.38</f>
        <v>-68.93</v>
      </c>
      <c r="I160" s="27">
        <v>-87.47</v>
      </c>
      <c r="J160" s="27"/>
      <c r="K160" s="19"/>
      <c r="L160" s="27"/>
      <c r="M160" s="30"/>
      <c r="N160" s="3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9.5" customHeight="1">
      <c r="A161" s="26">
        <v>45804.0</v>
      </c>
      <c r="B161" s="19"/>
      <c r="C161" s="27"/>
      <c r="D161" s="19"/>
      <c r="E161" s="27">
        <v>-20.0</v>
      </c>
      <c r="F161" s="27"/>
      <c r="G161" s="27"/>
      <c r="H161" s="19"/>
      <c r="I161" s="27"/>
      <c r="J161" s="19"/>
      <c r="K161" s="19"/>
      <c r="L161" s="27"/>
      <c r="M161" s="30"/>
      <c r="N161" s="3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9.5" customHeight="1">
      <c r="A162" s="26">
        <v>45805.0</v>
      </c>
      <c r="B162" s="19"/>
      <c r="C162" s="27"/>
      <c r="D162" s="19"/>
      <c r="E162" s="19"/>
      <c r="F162" s="19">
        <f>-6-6-12</f>
        <v>-24</v>
      </c>
      <c r="G162" s="27">
        <v>-46.0</v>
      </c>
      <c r="H162" s="27"/>
      <c r="I162" s="19">
        <f>-8</f>
        <v>-8</v>
      </c>
      <c r="J162" s="19"/>
      <c r="K162" s="27"/>
      <c r="L162" s="19"/>
      <c r="M162" s="30"/>
      <c r="N162" s="3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9.5" customHeight="1">
      <c r="A163" s="26">
        <v>45806.0</v>
      </c>
      <c r="B163" s="19"/>
      <c r="C163" s="27"/>
      <c r="D163" s="19"/>
      <c r="E163" s="19"/>
      <c r="F163" s="27"/>
      <c r="G163" s="27">
        <f>-92-1.91</f>
        <v>-93.91</v>
      </c>
      <c r="H163" s="27">
        <v>-8.55</v>
      </c>
      <c r="I163" s="27">
        <f>-9.1-3</f>
        <v>-12.1</v>
      </c>
      <c r="J163" s="19"/>
      <c r="K163" s="27"/>
      <c r="L163" s="27"/>
      <c r="M163" s="30"/>
      <c r="N163" s="3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9.5" customHeight="1">
      <c r="A164" s="26">
        <v>45807.0</v>
      </c>
      <c r="B164" s="19"/>
      <c r="C164" s="27"/>
      <c r="D164" s="19"/>
      <c r="E164" s="27"/>
      <c r="F164" s="27">
        <v>-130.0</v>
      </c>
      <c r="G164" s="27"/>
      <c r="H164" s="27">
        <f>-5.57-39.48</f>
        <v>-45.05</v>
      </c>
      <c r="I164" s="27">
        <v>-36.51</v>
      </c>
      <c r="J164" s="19"/>
      <c r="K164" s="19"/>
      <c r="L164" s="19"/>
      <c r="M164" s="30"/>
      <c r="N164" s="3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9.5" customHeight="1">
      <c r="A165" s="26">
        <v>45808.0</v>
      </c>
      <c r="B165" s="19"/>
      <c r="C165" s="27"/>
      <c r="D165" s="19"/>
      <c r="E165" s="19"/>
      <c r="F165" s="27"/>
      <c r="G165" s="27"/>
      <c r="H165" s="19">
        <f>-31.57-35.9-55.65-0.9-7</f>
        <v>-131.02</v>
      </c>
      <c r="I165" s="27">
        <v>-10.15</v>
      </c>
      <c r="J165" s="19"/>
      <c r="K165" s="27"/>
      <c r="L165" s="27"/>
      <c r="M165" s="30"/>
      <c r="N165" s="3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9.5" customHeight="1">
      <c r="A166" s="26">
        <v>45809.0</v>
      </c>
      <c r="B166" s="19"/>
      <c r="C166" s="27"/>
      <c r="D166" s="19"/>
      <c r="E166" s="27"/>
      <c r="F166" s="27">
        <f>-5-20-5-4</f>
        <v>-34</v>
      </c>
      <c r="G166" s="27">
        <v>-9.99</v>
      </c>
      <c r="H166" s="19"/>
      <c r="I166" s="19">
        <f>-4-20.8-5</f>
        <v>-29.8</v>
      </c>
      <c r="J166" s="19"/>
      <c r="K166" s="19"/>
      <c r="L166" s="19"/>
      <c r="M166" s="30"/>
      <c r="N166" s="3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9.5" customHeight="1">
      <c r="A167" s="26">
        <v>45810.0</v>
      </c>
      <c r="B167" s="19"/>
      <c r="C167" s="27"/>
      <c r="D167" s="19"/>
      <c r="E167" s="27"/>
      <c r="F167" s="27">
        <f>-2.2-2.2</f>
        <v>-4.4</v>
      </c>
      <c r="G167" s="27">
        <v>-526.0</v>
      </c>
      <c r="H167" s="27">
        <v>-116.08</v>
      </c>
      <c r="I167" s="27"/>
      <c r="J167" s="19"/>
      <c r="K167" s="19"/>
      <c r="L167" s="27"/>
      <c r="M167" s="30"/>
      <c r="N167" s="3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9.5" customHeight="1">
      <c r="A168" s="26">
        <v>45811.0</v>
      </c>
      <c r="B168" s="19"/>
      <c r="C168" s="27"/>
      <c r="D168" s="19"/>
      <c r="E168" s="19"/>
      <c r="F168" s="27"/>
      <c r="G168" s="27"/>
      <c r="H168" s="27">
        <v>-4.35</v>
      </c>
      <c r="I168" s="27"/>
      <c r="J168" s="19"/>
      <c r="K168" s="19"/>
      <c r="L168" s="27"/>
      <c r="M168" s="30"/>
      <c r="N168" s="3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9.5" customHeight="1">
      <c r="A169" s="26">
        <v>45812.0</v>
      </c>
      <c r="B169" s="19"/>
      <c r="C169" s="27"/>
      <c r="D169" s="19"/>
      <c r="E169" s="19"/>
      <c r="F169" s="27"/>
      <c r="G169" s="27"/>
      <c r="H169" s="27"/>
      <c r="I169" s="27"/>
      <c r="J169" s="19"/>
      <c r="K169" s="19"/>
      <c r="L169" s="27"/>
      <c r="M169" s="30"/>
      <c r="N169" s="3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9.5" customHeight="1">
      <c r="A170" s="26">
        <v>45813.0</v>
      </c>
      <c r="B170" s="19"/>
      <c r="C170" s="27"/>
      <c r="D170" s="19"/>
      <c r="E170" s="19"/>
      <c r="F170" s="27"/>
      <c r="G170" s="27">
        <v>-142.56</v>
      </c>
      <c r="H170" s="19">
        <f>-10.8-76.03</f>
        <v>-86.83</v>
      </c>
      <c r="I170" s="27"/>
      <c r="J170" s="19"/>
      <c r="K170" s="19"/>
      <c r="L170" s="27"/>
      <c r="M170" s="30"/>
      <c r="N170" s="3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9.5" customHeight="1">
      <c r="A171" s="26">
        <v>45814.0</v>
      </c>
      <c r="B171" s="19"/>
      <c r="C171" s="27"/>
      <c r="D171" s="19"/>
      <c r="E171" s="27"/>
      <c r="F171" s="27">
        <v>-25.99</v>
      </c>
      <c r="G171" s="27">
        <v>-29.17</v>
      </c>
      <c r="H171" s="27">
        <v>-3.51</v>
      </c>
      <c r="I171" s="19"/>
      <c r="J171" s="19"/>
      <c r="K171" s="19">
        <f>-756-1385</f>
        <v>-2141</v>
      </c>
      <c r="L171" s="27">
        <v>-58.32</v>
      </c>
      <c r="M171" s="30"/>
      <c r="N171" s="3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9.5" customHeight="1">
      <c r="A172" s="26">
        <v>45815.0</v>
      </c>
      <c r="B172" s="19"/>
      <c r="C172" s="27"/>
      <c r="D172" s="19"/>
      <c r="E172" s="19"/>
      <c r="F172" s="27"/>
      <c r="G172" s="27">
        <v>-14.99</v>
      </c>
      <c r="H172" s="27">
        <v>-22.1</v>
      </c>
      <c r="I172" s="27">
        <v>-4.5</v>
      </c>
      <c r="J172" s="27"/>
      <c r="K172" s="19"/>
      <c r="L172" s="27"/>
      <c r="M172" s="30"/>
      <c r="N172" s="3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9.5" customHeight="1">
      <c r="A173" s="26">
        <v>45816.0</v>
      </c>
      <c r="B173" s="19"/>
      <c r="C173" s="27"/>
      <c r="D173" s="19"/>
      <c r="E173" s="19"/>
      <c r="F173" s="27">
        <v>-33.75</v>
      </c>
      <c r="G173" s="27"/>
      <c r="H173" s="27">
        <v>-3.0</v>
      </c>
      <c r="I173" s="27"/>
      <c r="J173" s="19"/>
      <c r="K173" s="19"/>
      <c r="L173" s="27"/>
      <c r="M173" s="30"/>
      <c r="N173" s="3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9.5" customHeight="1">
      <c r="A174" s="26">
        <v>45817.0</v>
      </c>
      <c r="B174" s="19"/>
      <c r="C174" s="27"/>
      <c r="D174" s="19"/>
      <c r="E174" s="27"/>
      <c r="F174" s="27"/>
      <c r="G174" s="19">
        <f>-35.97-55</f>
        <v>-90.97</v>
      </c>
      <c r="H174" s="27"/>
      <c r="I174" s="27"/>
      <c r="J174" s="27"/>
      <c r="K174" s="19"/>
      <c r="L174" s="27"/>
      <c r="M174" s="30"/>
      <c r="N174" s="3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9.5" customHeight="1">
      <c r="A175" s="26">
        <v>45818.0</v>
      </c>
      <c r="B175" s="19"/>
      <c r="C175" s="27"/>
      <c r="D175" s="19"/>
      <c r="E175" s="27"/>
      <c r="F175" s="27">
        <v>-19.0</v>
      </c>
      <c r="G175" s="27">
        <f>-40.2</f>
        <v>-40.2</v>
      </c>
      <c r="H175" s="27"/>
      <c r="I175" s="27"/>
      <c r="J175" s="19"/>
      <c r="K175" s="19"/>
      <c r="L175" s="27"/>
      <c r="M175" s="30"/>
      <c r="N175" s="3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9.5" customHeight="1">
      <c r="A176" s="26">
        <v>45819.0</v>
      </c>
      <c r="B176" s="19"/>
      <c r="C176" s="27"/>
      <c r="D176" s="19"/>
      <c r="E176" s="19"/>
      <c r="F176" s="27"/>
      <c r="G176" s="19"/>
      <c r="H176" s="27">
        <v>-159.48</v>
      </c>
      <c r="I176" s="27">
        <v>-56.84</v>
      </c>
      <c r="J176" s="27"/>
      <c r="K176" s="27">
        <v>-500.0</v>
      </c>
      <c r="L176" s="19"/>
      <c r="M176" s="30"/>
      <c r="N176" s="3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9.5" customHeight="1">
      <c r="A177" s="26">
        <v>45820.0</v>
      </c>
      <c r="B177" s="19"/>
      <c r="C177" s="27"/>
      <c r="D177" s="19"/>
      <c r="E177" s="27"/>
      <c r="F177" s="27">
        <v>-190.0</v>
      </c>
      <c r="G177" s="27"/>
      <c r="H177" s="27"/>
      <c r="I177" s="27"/>
      <c r="J177" s="19"/>
      <c r="K177" s="27"/>
      <c r="L177" s="19"/>
      <c r="M177" s="30"/>
      <c r="N177" s="3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9.5" customHeight="1">
      <c r="A178" s="26">
        <v>45821.0</v>
      </c>
      <c r="B178" s="19"/>
      <c r="C178" s="27"/>
      <c r="D178" s="19"/>
      <c r="E178" s="27">
        <v>-20.0</v>
      </c>
      <c r="F178" s="27">
        <v>-25.41</v>
      </c>
      <c r="G178" s="27"/>
      <c r="H178" s="27">
        <f>-14-18.1-20.98-10.15-9.05-33.14-16.45</f>
        <v>-121.87</v>
      </c>
      <c r="I178" s="27">
        <v>-16.14</v>
      </c>
      <c r="J178" s="19"/>
      <c r="K178" s="19"/>
      <c r="L178" s="27">
        <v>-58.32</v>
      </c>
      <c r="M178" s="30"/>
      <c r="N178" s="3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9.5" customHeight="1">
      <c r="A179" s="26">
        <v>45822.0</v>
      </c>
      <c r="B179" s="19"/>
      <c r="C179" s="27"/>
      <c r="D179" s="19"/>
      <c r="E179" s="19"/>
      <c r="F179" s="27"/>
      <c r="G179" s="27"/>
      <c r="H179" s="27"/>
      <c r="I179" s="27">
        <v>-54.3</v>
      </c>
      <c r="J179" s="19"/>
      <c r="K179" s="19"/>
      <c r="L179" s="27"/>
      <c r="M179" s="30"/>
      <c r="N179" s="3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9.5" customHeight="1">
      <c r="A180" s="26">
        <v>45823.0</v>
      </c>
      <c r="B180" s="19"/>
      <c r="C180" s="27"/>
      <c r="D180" s="19"/>
      <c r="E180" s="19"/>
      <c r="F180" s="27"/>
      <c r="G180" s="27">
        <v>-55.0</v>
      </c>
      <c r="H180" s="27">
        <v>-37.5</v>
      </c>
      <c r="I180" s="27"/>
      <c r="J180" s="19"/>
      <c r="K180" s="19"/>
      <c r="L180" s="27"/>
      <c r="M180" s="30"/>
      <c r="N180" s="3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9.5" customHeight="1">
      <c r="A181" s="26">
        <v>45824.0</v>
      </c>
      <c r="B181" s="19"/>
      <c r="C181" s="27"/>
      <c r="D181" s="19"/>
      <c r="E181" s="27"/>
      <c r="F181" s="27"/>
      <c r="G181" s="27"/>
      <c r="H181" s="19">
        <f>-13-10.51-19.68-7.47-14.85</f>
        <v>-65.51</v>
      </c>
      <c r="I181" s="27">
        <v>-39.6</v>
      </c>
      <c r="J181" s="27"/>
      <c r="K181" s="27"/>
      <c r="L181" s="27"/>
      <c r="M181" s="30"/>
      <c r="N181" s="3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9.5" customHeight="1">
      <c r="A182" s="26">
        <v>45825.0</v>
      </c>
      <c r="B182" s="19"/>
      <c r="C182" s="27"/>
      <c r="D182" s="19"/>
      <c r="E182" s="19"/>
      <c r="F182" s="27"/>
      <c r="G182" s="27">
        <v>-34.03</v>
      </c>
      <c r="H182" s="27"/>
      <c r="I182" s="27"/>
      <c r="J182" s="19"/>
      <c r="K182" s="19"/>
      <c r="L182" s="27"/>
      <c r="M182" s="30"/>
      <c r="N182" s="3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9.5" customHeight="1">
      <c r="A183" s="26">
        <v>45826.0</v>
      </c>
      <c r="B183" s="19"/>
      <c r="C183" s="27"/>
      <c r="D183" s="19"/>
      <c r="E183" s="27"/>
      <c r="F183" s="27"/>
      <c r="G183" s="19"/>
      <c r="H183" s="19"/>
      <c r="I183" s="27">
        <f>-76.05-8.6</f>
        <v>-84.65</v>
      </c>
      <c r="J183" s="19"/>
      <c r="K183" s="19"/>
      <c r="L183" s="27"/>
      <c r="M183" s="30"/>
      <c r="N183" s="3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9.5" customHeight="1">
      <c r="A184" s="26">
        <v>45827.0</v>
      </c>
      <c r="B184" s="19"/>
      <c r="C184" s="27"/>
      <c r="D184" s="19"/>
      <c r="E184" s="27"/>
      <c r="F184" s="27"/>
      <c r="G184" s="27">
        <v>-1.19</v>
      </c>
      <c r="H184" s="19"/>
      <c r="I184" s="19"/>
      <c r="J184" s="19"/>
      <c r="K184" s="19"/>
      <c r="L184" s="27">
        <v>-50.0</v>
      </c>
      <c r="M184" s="30"/>
      <c r="N184" s="3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9.5" customHeight="1">
      <c r="A185" s="26">
        <v>45828.0</v>
      </c>
      <c r="B185" s="19"/>
      <c r="C185" s="27"/>
      <c r="D185" s="19"/>
      <c r="E185" s="27"/>
      <c r="F185" s="27">
        <v>-6.9</v>
      </c>
      <c r="G185" s="27"/>
      <c r="H185" s="27"/>
      <c r="I185" s="27">
        <v>-20.85</v>
      </c>
      <c r="J185" s="19"/>
      <c r="K185" s="19"/>
      <c r="L185" s="27">
        <v>-58.32</v>
      </c>
      <c r="M185" s="30"/>
      <c r="N185" s="3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9.5" customHeight="1">
      <c r="A186" s="26">
        <v>45829.0</v>
      </c>
      <c r="B186" s="19"/>
      <c r="C186" s="27"/>
      <c r="D186" s="19"/>
      <c r="E186" s="27"/>
      <c r="F186" s="27"/>
      <c r="G186" s="27"/>
      <c r="H186" s="27">
        <f>-50.85-50.53-11.1-36.84-73.3-19.29</f>
        <v>-241.91</v>
      </c>
      <c r="I186" s="27"/>
      <c r="J186" s="19"/>
      <c r="K186" s="19"/>
      <c r="L186" s="27"/>
      <c r="M186" s="30"/>
      <c r="N186" s="3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9.5" customHeight="1">
      <c r="A187" s="26">
        <v>45830.0</v>
      </c>
      <c r="B187" s="19"/>
      <c r="C187" s="27"/>
      <c r="D187" s="19"/>
      <c r="E187" s="19"/>
      <c r="F187" s="27">
        <v>-399.0</v>
      </c>
      <c r="G187" s="27">
        <v>-55.0</v>
      </c>
      <c r="H187" s="27"/>
      <c r="I187" s="27"/>
      <c r="J187" s="19"/>
      <c r="K187" s="19"/>
      <c r="L187" s="19"/>
      <c r="M187" s="30"/>
      <c r="N187" s="3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9.5" customHeight="1">
      <c r="A188" s="26">
        <v>45831.0</v>
      </c>
      <c r="B188" s="19"/>
      <c r="C188" s="27"/>
      <c r="D188" s="19"/>
      <c r="E188" s="19"/>
      <c r="F188" s="27">
        <v>-15.75</v>
      </c>
      <c r="G188" s="19">
        <f>-10.2-40.2-35.97</f>
        <v>-86.37</v>
      </c>
      <c r="H188" s="27">
        <v>-37.98</v>
      </c>
      <c r="I188" s="27"/>
      <c r="J188" s="19"/>
      <c r="K188" s="27"/>
      <c r="L188" s="27"/>
      <c r="M188" s="30"/>
      <c r="N188" s="3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9.5" customHeight="1">
      <c r="A189" s="26">
        <v>45832.0</v>
      </c>
      <c r="B189" s="19"/>
      <c r="C189" s="27"/>
      <c r="D189" s="19"/>
      <c r="E189" s="27"/>
      <c r="F189" s="27">
        <v>-15.0</v>
      </c>
      <c r="G189" s="27">
        <v>-64.99</v>
      </c>
      <c r="H189" s="27"/>
      <c r="I189" s="27">
        <v>-5.0</v>
      </c>
      <c r="J189" s="19"/>
      <c r="K189" s="27"/>
      <c r="L189" s="27"/>
      <c r="M189" s="30"/>
      <c r="N189" s="3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9.5" customHeight="1">
      <c r="A190" s="26">
        <v>45833.0</v>
      </c>
      <c r="B190" s="19"/>
      <c r="C190" s="27"/>
      <c r="D190" s="19"/>
      <c r="E190" s="27"/>
      <c r="F190" s="27"/>
      <c r="G190" s="27">
        <v>-421.0</v>
      </c>
      <c r="H190" s="27">
        <f>-10-4.49-4.99-33.2-24.7</f>
        <v>-77.38</v>
      </c>
      <c r="I190" s="27"/>
      <c r="J190" s="19"/>
      <c r="K190" s="19"/>
      <c r="L190" s="19"/>
      <c r="M190" s="30"/>
      <c r="N190" s="3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9.5" customHeight="1">
      <c r="A191" s="26">
        <v>45834.0</v>
      </c>
      <c r="B191" s="19"/>
      <c r="C191" s="27"/>
      <c r="D191" s="19"/>
      <c r="E191" s="19"/>
      <c r="F191" s="27">
        <v>-1424.05</v>
      </c>
      <c r="G191" s="27"/>
      <c r="H191" s="27">
        <v>-80.6</v>
      </c>
      <c r="I191" s="27"/>
      <c r="J191" s="19"/>
      <c r="K191" s="19"/>
      <c r="L191" s="27"/>
      <c r="M191" s="30"/>
      <c r="N191" s="3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9.5" customHeight="1">
      <c r="A192" s="26">
        <v>45835.0</v>
      </c>
      <c r="B192" s="19"/>
      <c r="C192" s="27"/>
      <c r="D192" s="19"/>
      <c r="E192" s="19"/>
      <c r="F192" s="27">
        <v>-245.0</v>
      </c>
      <c r="G192" s="27"/>
      <c r="H192" s="27">
        <v>-7.28</v>
      </c>
      <c r="I192" s="27">
        <v>-13.2</v>
      </c>
      <c r="J192" s="19"/>
      <c r="K192" s="19"/>
      <c r="L192" s="27">
        <v>-58.32</v>
      </c>
      <c r="M192" s="30"/>
      <c r="N192" s="3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9.5" customHeight="1">
      <c r="A193" s="26">
        <v>45836.0</v>
      </c>
      <c r="B193" s="19"/>
      <c r="C193" s="27"/>
      <c r="D193" s="19"/>
      <c r="E193" s="19"/>
      <c r="F193" s="27">
        <f>-1-3</f>
        <v>-4</v>
      </c>
      <c r="G193" s="27">
        <v>-46.0</v>
      </c>
      <c r="H193" s="27">
        <v>-19.5</v>
      </c>
      <c r="I193" s="27"/>
      <c r="J193" s="19"/>
      <c r="K193" s="19"/>
      <c r="L193" s="27"/>
      <c r="M193" s="30"/>
      <c r="N193" s="3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9.5" customHeight="1">
      <c r="A194" s="26">
        <v>45837.0</v>
      </c>
      <c r="B194" s="19"/>
      <c r="C194" s="27"/>
      <c r="D194" s="19"/>
      <c r="E194" s="27"/>
      <c r="F194" s="27"/>
      <c r="G194" s="27">
        <v>-55.0</v>
      </c>
      <c r="H194" s="27"/>
      <c r="I194" s="27">
        <v>-4.6</v>
      </c>
      <c r="J194" s="27"/>
      <c r="K194" s="19"/>
      <c r="L194" s="19"/>
      <c r="M194" s="30"/>
      <c r="N194" s="3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9.5" customHeight="1">
      <c r="A195" s="26">
        <v>45838.0</v>
      </c>
      <c r="B195" s="19"/>
      <c r="C195" s="27"/>
      <c r="D195" s="19"/>
      <c r="E195" s="27"/>
      <c r="F195" s="27"/>
      <c r="G195" s="19">
        <f>-65+27.5</f>
        <v>-37.5</v>
      </c>
      <c r="H195">
        <f>-50.6-33.26-13.87-106.8</f>
        <v>-204.53</v>
      </c>
      <c r="I195" s="27">
        <f>-40-2</f>
        <v>-42</v>
      </c>
      <c r="J195" s="19"/>
      <c r="K195" s="27"/>
      <c r="L195" s="27"/>
      <c r="M195" s="30"/>
      <c r="N195" s="3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9.5" customHeight="1">
      <c r="A196" s="26">
        <v>45839.0</v>
      </c>
      <c r="B196" s="19"/>
      <c r="C196" s="27"/>
      <c r="D196" s="19"/>
      <c r="E196" s="27"/>
      <c r="F196" s="27"/>
      <c r="G196" s="27">
        <v>-9.99</v>
      </c>
      <c r="H196" s="27"/>
      <c r="I196" s="27"/>
      <c r="J196" s="19"/>
      <c r="K196" s="19"/>
      <c r="L196" s="27"/>
      <c r="M196" s="30"/>
      <c r="N196" s="3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26">
        <v>45840.0</v>
      </c>
      <c r="B197" s="19"/>
      <c r="C197" s="27"/>
      <c r="D197" s="19"/>
      <c r="E197" s="27"/>
      <c r="F197" s="27"/>
      <c r="G197" s="27"/>
      <c r="H197" s="27">
        <f>-17</f>
        <v>-17</v>
      </c>
      <c r="I197" s="27">
        <f>-42.73-5.08</f>
        <v>-47.81</v>
      </c>
      <c r="J197" s="27"/>
      <c r="K197" s="19"/>
      <c r="L197" s="19"/>
      <c r="M197" s="30"/>
      <c r="N197" s="3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26">
        <v>45841.0</v>
      </c>
      <c r="B198" s="19"/>
      <c r="C198" s="27"/>
      <c r="D198" s="19"/>
      <c r="E198" s="27"/>
      <c r="F198" s="27">
        <v>-12.0</v>
      </c>
      <c r="G198" s="27"/>
      <c r="H198" s="19">
        <f>-10-33-0.3-33.14-2.7</f>
        <v>-79.14</v>
      </c>
      <c r="I198" s="19"/>
      <c r="J198" s="27"/>
      <c r="K198" s="19"/>
      <c r="L198" s="27"/>
      <c r="M198" s="30"/>
      <c r="N198" s="3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26">
        <v>45842.0</v>
      </c>
      <c r="B199" s="19"/>
      <c r="C199" s="27"/>
      <c r="D199" s="19"/>
      <c r="E199" s="27"/>
      <c r="F199" s="27"/>
      <c r="G199" s="27"/>
      <c r="H199" s="27">
        <f>-29.99-31.33+11.1</f>
        <v>-50.22</v>
      </c>
      <c r="I199" s="27"/>
      <c r="J199" s="19"/>
      <c r="K199" s="19"/>
      <c r="L199" s="19"/>
      <c r="M199" s="30"/>
      <c r="N199" s="3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26">
        <v>45843.0</v>
      </c>
      <c r="B200" s="19"/>
      <c r="C200" s="27"/>
      <c r="D200" s="19"/>
      <c r="E200" s="19"/>
      <c r="F200" s="27">
        <v>-29.0</v>
      </c>
      <c r="G200" s="27"/>
      <c r="H200" s="27">
        <f>-1.29-30.57</f>
        <v>-31.86</v>
      </c>
      <c r="I200" s="27">
        <v>-5.8</v>
      </c>
      <c r="J200" s="19"/>
      <c r="K200" s="19"/>
      <c r="L200" s="27">
        <v>-58.32</v>
      </c>
      <c r="M200" s="30"/>
      <c r="N200" s="3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8.0" customHeight="1">
      <c r="A201" s="26">
        <v>45844.0</v>
      </c>
      <c r="B201" s="19"/>
      <c r="C201" s="27"/>
      <c r="D201" s="19"/>
      <c r="E201" s="27"/>
      <c r="F201" s="27"/>
      <c r="G201" s="27">
        <f>-55-149.95</f>
        <v>-204.95</v>
      </c>
      <c r="H201" s="27">
        <f>-6.01-24.63</f>
        <v>-30.64</v>
      </c>
      <c r="I201" s="19"/>
      <c r="J201" s="19"/>
      <c r="K201" s="27"/>
      <c r="L201" s="19"/>
      <c r="M201" s="30"/>
      <c r="N201" s="3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26">
        <v>45845.0</v>
      </c>
      <c r="B202" s="19"/>
      <c r="C202" s="27"/>
      <c r="D202" s="19"/>
      <c r="E202" s="27"/>
      <c r="F202" s="27"/>
      <c r="G202" s="27">
        <f>-40.2-35.97-29.17-14.99</f>
        <v>-120.33</v>
      </c>
      <c r="H202" s="27"/>
      <c r="I202" s="27">
        <v>-49.24</v>
      </c>
      <c r="J202" s="27"/>
      <c r="K202" s="27">
        <f>-1385-756</f>
        <v>-2141</v>
      </c>
      <c r="L202" s="27"/>
      <c r="M202" s="30"/>
      <c r="N202" s="3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26">
        <v>45846.0</v>
      </c>
      <c r="B203" s="19"/>
      <c r="C203" s="27"/>
      <c r="D203" s="19"/>
      <c r="E203" s="19"/>
      <c r="F203" s="27">
        <v>-78.0</v>
      </c>
      <c r="G203" s="27"/>
      <c r="H203" s="27">
        <f>-37.97-35.7</f>
        <v>-73.67</v>
      </c>
      <c r="I203" s="27"/>
      <c r="J203" s="19"/>
      <c r="K203" s="19"/>
      <c r="L203" s="27"/>
      <c r="M203" s="30"/>
      <c r="N203" s="3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26">
        <v>45847.0</v>
      </c>
      <c r="B204" s="19"/>
      <c r="C204" s="27"/>
      <c r="D204" s="19"/>
      <c r="E204" s="27"/>
      <c r="F204" s="27"/>
      <c r="G204" s="27">
        <v>-1643.02</v>
      </c>
      <c r="H204" s="27">
        <v>-15.48</v>
      </c>
      <c r="I204" s="27"/>
      <c r="J204" s="19"/>
      <c r="K204" s="19"/>
      <c r="L204" s="19"/>
      <c r="M204" s="30"/>
      <c r="N204" s="3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26">
        <v>45848.0</v>
      </c>
      <c r="B205" s="19"/>
      <c r="C205" s="27"/>
      <c r="D205" s="19"/>
      <c r="E205" s="27"/>
      <c r="F205" s="27">
        <f>-3-2.2</f>
        <v>-5.2</v>
      </c>
      <c r="G205" s="27"/>
      <c r="H205" s="27">
        <v>-27.4</v>
      </c>
      <c r="I205" s="27">
        <v>-8.08</v>
      </c>
      <c r="K205" s="19"/>
      <c r="L205" s="27">
        <v>-18.98</v>
      </c>
      <c r="M205" s="30"/>
      <c r="N205" s="3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26">
        <v>45849.0</v>
      </c>
      <c r="B206" s="19"/>
      <c r="C206" s="27"/>
      <c r="D206" s="19"/>
      <c r="E206" s="27"/>
      <c r="F206" s="27">
        <f>-15-8</f>
        <v>-23</v>
      </c>
      <c r="G206" s="27"/>
      <c r="H206" s="19">
        <f>-1.65-86.92-10.11</f>
        <v>-98.68</v>
      </c>
      <c r="I206" s="27"/>
      <c r="J206" s="19"/>
      <c r="K206" s="27"/>
      <c r="L206" s="27">
        <v>-64.9</v>
      </c>
      <c r="M206" s="30"/>
      <c r="N206" s="3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26">
        <v>45850.0</v>
      </c>
      <c r="B207" s="19"/>
      <c r="C207" s="27"/>
      <c r="D207" s="19"/>
      <c r="E207" s="19"/>
      <c r="F207" s="27"/>
      <c r="G207" s="27"/>
      <c r="H207" s="19"/>
      <c r="I207" s="27"/>
      <c r="J207" s="27"/>
      <c r="K207" s="27"/>
      <c r="L207" s="27"/>
      <c r="M207" s="30"/>
      <c r="N207" s="3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26">
        <v>45851.0</v>
      </c>
      <c r="B208" s="19"/>
      <c r="C208" s="27"/>
      <c r="D208" s="19"/>
      <c r="E208" s="19"/>
      <c r="F208" s="27"/>
      <c r="G208" s="27">
        <v>-55.0</v>
      </c>
      <c r="H208" s="27">
        <f>-15.7-2.47-53.29-10</f>
        <v>-81.46</v>
      </c>
      <c r="J208" s="27"/>
      <c r="K208" s="19"/>
      <c r="L208" s="19"/>
      <c r="M208" s="30"/>
      <c r="N208" s="3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26">
        <v>45852.0</v>
      </c>
      <c r="B209" s="19"/>
      <c r="C209" s="27"/>
      <c r="D209" s="19"/>
      <c r="E209" s="27"/>
      <c r="F209" s="27"/>
      <c r="G209" s="27"/>
      <c r="H209" s="27">
        <f>-10.11-20.4</f>
        <v>-30.51</v>
      </c>
      <c r="I209" s="19"/>
      <c r="J209" s="27"/>
      <c r="K209" s="19">
        <f>-500</f>
        <v>-500</v>
      </c>
      <c r="L209" s="27"/>
      <c r="M209" s="30"/>
      <c r="N209" s="3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26">
        <v>45853.0</v>
      </c>
      <c r="B210" s="19"/>
      <c r="C210" s="27"/>
      <c r="D210" s="19"/>
      <c r="E210" s="27"/>
      <c r="F210" s="27">
        <v>-10.0</v>
      </c>
      <c r="G210" s="27"/>
      <c r="H210" s="19">
        <f>-54.9-1.7</f>
        <v>-56.6</v>
      </c>
      <c r="I210" s="27">
        <v>-68.73</v>
      </c>
      <c r="J210" s="27"/>
      <c r="K210" s="27"/>
      <c r="L210" s="27"/>
      <c r="M210" s="30"/>
      <c r="N210" s="3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26">
        <v>45854.0</v>
      </c>
      <c r="B211" s="19"/>
      <c r="C211" s="27"/>
      <c r="D211" s="19"/>
      <c r="E211" s="27"/>
      <c r="F211" s="27">
        <v>-180.5</v>
      </c>
      <c r="G211" s="27"/>
      <c r="H211" s="27">
        <f>-33.49-10.47</f>
        <v>-43.96</v>
      </c>
      <c r="I211" s="27"/>
      <c r="J211" s="27"/>
      <c r="K211" s="27">
        <v>-10.0</v>
      </c>
      <c r="L211" s="19"/>
      <c r="M211" s="30"/>
      <c r="N211" s="3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26">
        <v>45855.0</v>
      </c>
      <c r="B212" s="19"/>
      <c r="C212" s="27"/>
      <c r="D212" s="19"/>
      <c r="E212" s="27">
        <v>-20.0</v>
      </c>
      <c r="F212" s="27">
        <f>-20-130</f>
        <v>-150</v>
      </c>
      <c r="G212" s="27">
        <v>-33.88</v>
      </c>
      <c r="H212" s="27">
        <v>-9.1</v>
      </c>
      <c r="I212" s="27">
        <v>-79.17</v>
      </c>
      <c r="J212" s="19"/>
      <c r="K212" s="19"/>
      <c r="L212" s="27">
        <v>-34.6</v>
      </c>
      <c r="M212" s="30"/>
      <c r="N212" s="3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26">
        <v>45856.0</v>
      </c>
      <c r="B213" s="19"/>
      <c r="C213" s="27"/>
      <c r="D213" s="19"/>
      <c r="E213" s="19"/>
      <c r="F213" s="27"/>
      <c r="G213" s="27"/>
      <c r="H213" s="27"/>
      <c r="I213" s="27">
        <v>-93.53</v>
      </c>
      <c r="J213" s="19"/>
      <c r="K213" s="19"/>
      <c r="L213" s="27">
        <v>-109.2</v>
      </c>
      <c r="M213" s="30"/>
      <c r="N213" s="3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26">
        <v>45857.0</v>
      </c>
      <c r="B214" s="19"/>
      <c r="C214" s="27"/>
      <c r="D214" s="19"/>
      <c r="E214" s="27"/>
      <c r="F214" s="27"/>
      <c r="G214" s="27">
        <v>-1.19</v>
      </c>
      <c r="H214" s="27">
        <f>-11.71-15-17.5-71.84-92.76-45.29</f>
        <v>-254.1</v>
      </c>
      <c r="I214" s="27">
        <v>-73.02</v>
      </c>
      <c r="J214" s="27"/>
      <c r="K214" s="19"/>
      <c r="L214" s="27"/>
      <c r="M214" s="30"/>
      <c r="N214" s="3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26">
        <v>45858.0</v>
      </c>
      <c r="B215" s="19"/>
      <c r="C215" s="27"/>
      <c r="D215" s="19"/>
      <c r="E215" s="19"/>
      <c r="F215" s="27"/>
      <c r="G215" s="27">
        <f>-150-55</f>
        <v>-205</v>
      </c>
      <c r="H215" s="27"/>
      <c r="I215" s="19"/>
      <c r="J215" s="19"/>
      <c r="K215" s="19"/>
      <c r="L215" s="19"/>
      <c r="M215" s="30"/>
      <c r="N215" s="3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26">
        <v>45859.0</v>
      </c>
      <c r="B216" s="19"/>
      <c r="C216" s="27"/>
      <c r="D216" s="19"/>
      <c r="E216" s="27"/>
      <c r="F216" s="27">
        <f>-252-94.5</f>
        <v>-346.5</v>
      </c>
      <c r="G216" s="27">
        <f>-40.2-35.97</f>
        <v>-76.17</v>
      </c>
      <c r="H216">
        <f>-6-13.7-4.05-9.92-3.73-29.19</f>
        <v>-66.59</v>
      </c>
      <c r="I216" s="19">
        <f>-19.08-15.23</f>
        <v>-34.31</v>
      </c>
      <c r="J216" s="19"/>
      <c r="K216" s="19"/>
      <c r="L216" s="27"/>
      <c r="M216" s="30"/>
      <c r="N216" s="3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26">
        <v>45860.0</v>
      </c>
      <c r="B217" s="19"/>
      <c r="C217" s="27"/>
      <c r="D217" s="19"/>
      <c r="E217" s="19"/>
      <c r="F217" s="27"/>
      <c r="G217" s="27">
        <f>-20-10.2</f>
        <v>-30.2</v>
      </c>
      <c r="H217" s="19"/>
      <c r="I217" s="27">
        <v>-18.0</v>
      </c>
      <c r="J217" s="19"/>
      <c r="K217" s="19"/>
      <c r="L217" s="27"/>
      <c r="M217" s="30"/>
      <c r="N217" s="3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26">
        <v>45861.0</v>
      </c>
      <c r="B218" s="19"/>
      <c r="C218" s="27"/>
      <c r="D218" s="19"/>
      <c r="E218" s="27"/>
      <c r="F218" s="27"/>
      <c r="G218" s="27">
        <f>2000-351.98</f>
        <v>1648.02</v>
      </c>
      <c r="H218" s="27">
        <f>-5.75-4.5-2.35-17.88</f>
        <v>-30.48</v>
      </c>
      <c r="I218" s="27">
        <f>-6.29-6.85</f>
        <v>-13.14</v>
      </c>
      <c r="J218" s="19"/>
      <c r="K218" s="27"/>
      <c r="L218" s="27">
        <v>-34.6</v>
      </c>
      <c r="M218" s="30"/>
      <c r="N218" s="3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26">
        <v>45862.0</v>
      </c>
      <c r="B219" s="19"/>
      <c r="C219" s="27"/>
      <c r="D219" s="19"/>
      <c r="E219" s="27"/>
      <c r="F219" s="27"/>
      <c r="G219" s="27"/>
      <c r="H219" s="27">
        <v>-3.7</v>
      </c>
      <c r="I219" s="19"/>
      <c r="J219" s="19"/>
      <c r="K219" s="27"/>
      <c r="L219" s="19"/>
      <c r="M219" s="30"/>
      <c r="N219" s="3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26">
        <v>45863.0</v>
      </c>
      <c r="B220" s="19"/>
      <c r="C220" s="27"/>
      <c r="D220" s="19"/>
      <c r="E220" s="27"/>
      <c r="F220" s="27"/>
      <c r="G220" s="27">
        <v>-64.99</v>
      </c>
      <c r="H220" s="27">
        <v>-115.32</v>
      </c>
      <c r="I220" s="27">
        <v>-43.79</v>
      </c>
      <c r="J220" s="27"/>
      <c r="K220" s="19"/>
      <c r="L220" s="27">
        <v>-87.05</v>
      </c>
      <c r="M220" s="30"/>
      <c r="N220" s="3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26">
        <v>45864.0</v>
      </c>
      <c r="B221" s="19"/>
      <c r="C221" s="27"/>
      <c r="D221" s="19"/>
      <c r="E221" s="27"/>
      <c r="F221" s="27">
        <f>-11.4-10</f>
        <v>-21.4</v>
      </c>
      <c r="G221" s="27"/>
      <c r="H221" s="27">
        <f>-26.68-17.5</f>
        <v>-44.18</v>
      </c>
      <c r="I221" s="27">
        <v>-8.77</v>
      </c>
      <c r="J221" s="19"/>
      <c r="K221" s="19"/>
      <c r="L221" s="19"/>
      <c r="M221" s="30"/>
      <c r="N221" s="3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26">
        <v>45865.0</v>
      </c>
      <c r="B222" s="19"/>
      <c r="C222" s="27"/>
      <c r="D222" s="19"/>
      <c r="E222" s="19"/>
      <c r="F222" s="27"/>
      <c r="G222" s="27">
        <v>-55.0</v>
      </c>
      <c r="H222" s="27">
        <f>-97.95-11.18</f>
        <v>-109.13</v>
      </c>
      <c r="I222" s="27"/>
      <c r="J222" s="19"/>
      <c r="K222" s="19"/>
      <c r="L222" s="19"/>
      <c r="M222" s="30"/>
      <c r="N222" s="3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26">
        <v>45866.0</v>
      </c>
      <c r="B223" s="19"/>
      <c r="C223" s="27"/>
      <c r="D223" s="19"/>
      <c r="E223" s="19"/>
      <c r="F223" s="27"/>
      <c r="G223" s="27">
        <f>-149-46</f>
        <v>-195</v>
      </c>
      <c r="H223" s="27">
        <v>-17.01</v>
      </c>
      <c r="I223" s="27"/>
      <c r="J223" s="19"/>
      <c r="K223" s="19"/>
      <c r="L223" s="27"/>
      <c r="M223" s="30"/>
      <c r="N223" s="3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26">
        <v>45867.0</v>
      </c>
      <c r="B224" s="19"/>
      <c r="C224" s="27"/>
      <c r="D224" s="19"/>
      <c r="E224" s="19"/>
      <c r="F224" s="27"/>
      <c r="G224" s="27"/>
      <c r="H224" s="27">
        <f>-47.3-40.68</f>
        <v>-87.98</v>
      </c>
      <c r="I224" s="27">
        <v>-37.0</v>
      </c>
      <c r="J224" s="19"/>
      <c r="K224" s="19"/>
      <c r="L224" s="27"/>
      <c r="M224" s="30"/>
      <c r="N224" s="3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26">
        <v>45868.0</v>
      </c>
      <c r="B225" s="19"/>
      <c r="C225" s="27"/>
      <c r="D225" s="19"/>
      <c r="E225" s="19"/>
      <c r="F225" s="27"/>
      <c r="G225" s="27"/>
      <c r="H225" s="27"/>
      <c r="I225" s="27">
        <v>-7.47</v>
      </c>
      <c r="J225" s="19"/>
      <c r="K225" s="19"/>
      <c r="L225" s="27">
        <v>-34.6</v>
      </c>
      <c r="M225" s="30"/>
      <c r="N225" s="3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26">
        <v>45869.0</v>
      </c>
      <c r="B226" s="19"/>
      <c r="C226" s="27"/>
      <c r="D226" s="19"/>
      <c r="E226" s="19"/>
      <c r="F226" s="19">
        <f>-21.8-4</f>
        <v>-25.8</v>
      </c>
      <c r="G226" s="27">
        <v>-16.0</v>
      </c>
      <c r="H226" s="27"/>
      <c r="I226" s="27"/>
      <c r="J226" s="19"/>
      <c r="K226" s="19"/>
      <c r="L226" s="19"/>
      <c r="M226" s="30"/>
      <c r="N226" s="3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26">
        <v>45870.0</v>
      </c>
      <c r="B227" s="19"/>
      <c r="C227" s="27"/>
      <c r="D227" s="19"/>
      <c r="E227" s="19"/>
      <c r="F227" s="27">
        <f>+2826.84+4</f>
        <v>2830.84</v>
      </c>
      <c r="G227" s="27">
        <v>-9.99</v>
      </c>
      <c r="H227" s="27">
        <v>-9.88</v>
      </c>
      <c r="I227" s="27">
        <v>-45.68</v>
      </c>
      <c r="J227" s="19"/>
      <c r="K227" s="19"/>
      <c r="L227" s="27">
        <v>-87.05</v>
      </c>
      <c r="M227" s="30"/>
      <c r="N227" s="3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26">
        <v>45871.0</v>
      </c>
      <c r="B228" s="19"/>
      <c r="C228" s="27"/>
      <c r="D228" s="19"/>
      <c r="E228" s="27"/>
      <c r="F228" s="27"/>
      <c r="G228" s="27"/>
      <c r="H228" s="19">
        <f>-86.76-39.18-10-19.1-23.99</f>
        <v>-179.03</v>
      </c>
      <c r="I228" s="27">
        <v>-54.77</v>
      </c>
      <c r="J228" s="19"/>
      <c r="K228" s="27"/>
      <c r="L228" s="27"/>
      <c r="M228" s="30"/>
      <c r="N228" s="3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26">
        <v>45872.0</v>
      </c>
      <c r="B229" s="19"/>
      <c r="C229" s="27"/>
      <c r="D229" s="19"/>
      <c r="E229" s="27"/>
      <c r="F229" s="27">
        <f>-317.64</f>
        <v>-317.64</v>
      </c>
      <c r="G229" s="27">
        <v>-55.0</v>
      </c>
      <c r="H229" s="27">
        <v>-75.42</v>
      </c>
      <c r="I229" s="27"/>
      <c r="J229" s="19"/>
      <c r="K229" s="19"/>
      <c r="L229" s="19"/>
      <c r="M229" s="30"/>
      <c r="N229" s="3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26">
        <v>45873.0</v>
      </c>
      <c r="B230" s="19"/>
      <c r="C230" s="27"/>
      <c r="D230" s="19"/>
      <c r="E230" s="19"/>
      <c r="F230" s="27">
        <v>-16.25</v>
      </c>
      <c r="G230" s="27">
        <f>-40.2-35.97</f>
        <v>-76.17</v>
      </c>
      <c r="H230" s="27"/>
      <c r="I230" s="27">
        <v>-12.0</v>
      </c>
      <c r="J230" s="19"/>
      <c r="K230" s="19"/>
      <c r="L230" s="27"/>
      <c r="M230" s="30"/>
      <c r="N230" s="3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26">
        <v>45874.0</v>
      </c>
      <c r="B231" s="19"/>
      <c r="C231" s="27"/>
      <c r="D231" s="19"/>
      <c r="E231" s="19"/>
      <c r="F231" s="27">
        <f>10.9+2.8</f>
        <v>13.7</v>
      </c>
      <c r="G231" s="27">
        <f>-29.17-11.12</f>
        <v>-40.29</v>
      </c>
      <c r="H231" s="27"/>
      <c r="I231" s="27"/>
      <c r="J231" s="19"/>
      <c r="K231" s="19"/>
      <c r="L231" s="27"/>
      <c r="M231" s="30"/>
      <c r="N231" s="3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26">
        <v>45875.0</v>
      </c>
      <c r="B232" s="19"/>
      <c r="C232" s="27"/>
      <c r="D232" s="19"/>
      <c r="E232" s="27"/>
      <c r="F232" s="27">
        <v>-5.15</v>
      </c>
      <c r="G232" s="27">
        <v>-180.87</v>
      </c>
      <c r="H232" s="27">
        <v>-18.43</v>
      </c>
      <c r="I232" s="27">
        <f>-48.5-8.78</f>
        <v>-57.28</v>
      </c>
      <c r="J232" s="19"/>
      <c r="K232" s="19"/>
      <c r="L232" s="27"/>
      <c r="M232" s="30"/>
      <c r="N232" s="3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26">
        <v>45876.0</v>
      </c>
      <c r="B233" s="19"/>
      <c r="C233" s="27"/>
      <c r="D233" s="19"/>
      <c r="E233" s="27"/>
      <c r="F233" s="27"/>
      <c r="G233" s="39">
        <v>-14.99</v>
      </c>
      <c r="H233" s="27"/>
      <c r="I233" s="27"/>
      <c r="J233" s="19"/>
      <c r="K233" s="27">
        <v>-700.0</v>
      </c>
      <c r="L233" s="27">
        <v>-34.64</v>
      </c>
      <c r="M233" s="30"/>
      <c r="N233" s="3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26">
        <v>45877.0</v>
      </c>
      <c r="B234" s="19"/>
      <c r="C234" s="27"/>
      <c r="D234" s="19"/>
      <c r="E234" s="19"/>
      <c r="F234" s="27"/>
      <c r="G234" s="27"/>
      <c r="H234" s="27">
        <f>-53.72-73.97</f>
        <v>-127.69</v>
      </c>
      <c r="I234" s="27">
        <v>-20.15</v>
      </c>
      <c r="J234" s="19"/>
      <c r="K234" s="19"/>
      <c r="L234" s="27">
        <v>-87.05</v>
      </c>
      <c r="M234" s="30"/>
      <c r="N234" s="3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26">
        <v>45878.0</v>
      </c>
      <c r="B235" s="19"/>
      <c r="C235" s="27"/>
      <c r="D235" s="19"/>
      <c r="E235" s="27"/>
      <c r="F235" s="27"/>
      <c r="G235" s="27"/>
      <c r="H235" s="27">
        <f>-51.78-27.2-75.2</f>
        <v>-154.18</v>
      </c>
      <c r="I235" s="27">
        <v>-17.2</v>
      </c>
      <c r="J235" s="19"/>
      <c r="K235" s="19"/>
      <c r="L235" s="27"/>
      <c r="M235" s="30"/>
      <c r="N235" s="3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26">
        <v>45879.0</v>
      </c>
      <c r="B236" s="19"/>
      <c r="C236" s="27"/>
      <c r="D236" s="19"/>
      <c r="E236" s="27"/>
      <c r="F236" s="27">
        <v>-6.0</v>
      </c>
      <c r="G236" s="27">
        <v>-55.0</v>
      </c>
      <c r="H236" s="27"/>
      <c r="I236" s="27">
        <f>-9.72-18-4.5-29.44</f>
        <v>-61.66</v>
      </c>
      <c r="J236" s="19"/>
      <c r="K236" s="27"/>
      <c r="L236" s="19"/>
      <c r="M236" s="30"/>
      <c r="N236" s="3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26">
        <v>45880.0</v>
      </c>
      <c r="B237" s="19"/>
      <c r="C237" s="27"/>
      <c r="D237" s="19"/>
      <c r="E237" s="27"/>
      <c r="F237" s="27">
        <f>-15+61.27</f>
        <v>46.27</v>
      </c>
      <c r="G237" s="27"/>
      <c r="H237" s="27"/>
      <c r="I237" s="27"/>
      <c r="J237" s="19"/>
      <c r="K237" s="19"/>
      <c r="L237" s="27"/>
      <c r="M237" s="30"/>
      <c r="N237" s="3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26">
        <v>45881.0</v>
      </c>
      <c r="B238" s="19"/>
      <c r="C238" s="27"/>
      <c r="D238" s="19"/>
      <c r="E238" s="27"/>
      <c r="F238" s="27">
        <v>17.0</v>
      </c>
      <c r="G238" s="27">
        <v>-45.39</v>
      </c>
      <c r="H238" s="27">
        <v>-75.59</v>
      </c>
      <c r="I238" s="27"/>
      <c r="J238" s="19"/>
      <c r="K238" s="27"/>
      <c r="L238" s="27"/>
      <c r="M238" s="30"/>
      <c r="N238" s="3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26">
        <v>45882.0</v>
      </c>
      <c r="B239" s="19"/>
      <c r="C239" s="27"/>
      <c r="D239" s="19"/>
      <c r="E239" s="19"/>
      <c r="F239" s="27"/>
      <c r="G239" s="27">
        <v>97.53</v>
      </c>
      <c r="H239" s="27">
        <f>-65.9-7.6-9.47</f>
        <v>-82.97</v>
      </c>
      <c r="I239" s="27"/>
      <c r="J239" s="19"/>
      <c r="K239" s="19"/>
      <c r="L239" s="19"/>
      <c r="M239" s="30"/>
      <c r="N239" s="3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26">
        <v>45883.0</v>
      </c>
      <c r="B240" s="19"/>
      <c r="C240" s="27"/>
      <c r="D240" s="19"/>
      <c r="E240" s="27"/>
      <c r="F240" s="27"/>
      <c r="G240" s="27">
        <f>-34-1.59</f>
        <v>-35.59</v>
      </c>
      <c r="H240" s="27"/>
      <c r="I240" s="27"/>
      <c r="J240" s="19"/>
      <c r="K240" s="19"/>
      <c r="L240" s="27">
        <v>-34.56</v>
      </c>
      <c r="M240" s="30"/>
      <c r="N240" s="3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26">
        <v>45884.0</v>
      </c>
      <c r="B241" s="19"/>
      <c r="C241" s="27"/>
      <c r="D241" s="19"/>
      <c r="E241" s="27"/>
      <c r="F241" s="27">
        <f>-7.75-30.33</f>
        <v>-38.08</v>
      </c>
      <c r="G241" s="27">
        <v>-243.67</v>
      </c>
      <c r="H241" s="27">
        <f>-8.89-17-3.15</f>
        <v>-29.04</v>
      </c>
      <c r="I241" s="27">
        <v>-57.5</v>
      </c>
      <c r="J241" s="19"/>
      <c r="K241" s="19"/>
      <c r="L241" s="27">
        <v>-87.05</v>
      </c>
      <c r="M241" s="30"/>
      <c r="N241" s="3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26">
        <v>45885.0</v>
      </c>
      <c r="B242" s="19"/>
      <c r="C242" s="27"/>
      <c r="D242" s="19"/>
      <c r="E242" s="27"/>
      <c r="F242" s="27"/>
      <c r="G242" s="27"/>
      <c r="H242" s="27">
        <f>-5.9-2.95+3.5-117-7.73-37</f>
        <v>-167.08</v>
      </c>
      <c r="I242" s="19"/>
      <c r="J242" s="19"/>
      <c r="K242" s="27">
        <f>-10-2700</f>
        <v>-2710</v>
      </c>
      <c r="L242" s="27"/>
      <c r="M242" s="30"/>
      <c r="N242" s="3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26">
        <v>45886.0</v>
      </c>
      <c r="B243" s="19"/>
      <c r="C243" s="27"/>
      <c r="D243" s="19"/>
      <c r="E243" s="19"/>
      <c r="F243" s="27"/>
      <c r="G243" s="27">
        <v>-55.0</v>
      </c>
      <c r="H243" s="27"/>
      <c r="I243" s="27"/>
      <c r="J243" s="19"/>
      <c r="K243" s="19"/>
      <c r="L243" s="19"/>
      <c r="M243" s="30"/>
      <c r="N243" s="3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26">
        <v>45887.0</v>
      </c>
      <c r="B244" s="19"/>
      <c r="C244" s="27"/>
      <c r="D244" s="19"/>
      <c r="E244" s="27"/>
      <c r="F244" s="27"/>
      <c r="G244" s="27">
        <f>-1504.07-40.2-35.97</f>
        <v>-1580.24</v>
      </c>
      <c r="H244" s="27"/>
      <c r="I244" s="27">
        <v>-25.86</v>
      </c>
      <c r="J244" s="27"/>
      <c r="K244" s="19"/>
      <c r="L244" s="27"/>
      <c r="M244" s="30"/>
      <c r="N244" s="3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26">
        <v>45888.0</v>
      </c>
      <c r="B245" s="19"/>
      <c r="C245" s="27"/>
      <c r="D245" s="19"/>
      <c r="E245" s="19"/>
      <c r="F245" s="27"/>
      <c r="G245" s="27"/>
      <c r="H245" s="27">
        <v>-13.8</v>
      </c>
      <c r="I245" s="27">
        <v>-7.99</v>
      </c>
      <c r="J245" s="19"/>
      <c r="K245" s="19"/>
      <c r="L245" s="27"/>
      <c r="M245" s="30"/>
      <c r="N245" s="3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26">
        <v>45889.0</v>
      </c>
      <c r="B246" s="19"/>
      <c r="C246" s="27"/>
      <c r="D246" s="19"/>
      <c r="E246" s="27"/>
      <c r="F246" s="19"/>
      <c r="G246" s="27"/>
      <c r="H246" s="27">
        <v>-79.54</v>
      </c>
      <c r="I246" s="19"/>
      <c r="J246" s="19"/>
      <c r="K246" s="19"/>
      <c r="L246" s="27">
        <v>-34.6</v>
      </c>
      <c r="M246" s="30"/>
      <c r="N246" s="3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26">
        <v>45890.0</v>
      </c>
      <c r="B247" s="19"/>
      <c r="C247" s="27"/>
      <c r="D247" s="19"/>
      <c r="E247" s="27"/>
      <c r="F247" s="27">
        <v>-25.6</v>
      </c>
      <c r="G247" s="27"/>
      <c r="H247" s="27">
        <v>-9.53</v>
      </c>
      <c r="I247" s="27">
        <f>-61.92-20.85</f>
        <v>-82.77</v>
      </c>
      <c r="J247" s="19"/>
      <c r="K247" s="19"/>
      <c r="L247" s="19"/>
      <c r="M247" s="30"/>
      <c r="N247" s="3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26">
        <v>45891.0</v>
      </c>
      <c r="B248" s="19"/>
      <c r="C248" s="27"/>
      <c r="D248" s="19"/>
      <c r="E248" s="27"/>
      <c r="F248" s="27">
        <v>-25.0</v>
      </c>
      <c r="G248" s="27">
        <f>550.64-10.2</f>
        <v>540.44</v>
      </c>
      <c r="H248" s="27">
        <f>-3-3.5</f>
        <v>-6.5</v>
      </c>
      <c r="I248" s="27">
        <v>-36.1</v>
      </c>
      <c r="J248" s="19"/>
      <c r="K248" s="19"/>
      <c r="L248" s="27">
        <v>-87.05</v>
      </c>
      <c r="M248" s="30"/>
      <c r="N248" s="3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26">
        <v>45892.0</v>
      </c>
      <c r="B249" s="19"/>
      <c r="C249" s="27"/>
      <c r="D249" s="19"/>
      <c r="E249" s="19"/>
      <c r="F249" s="27">
        <f>-10-49.98</f>
        <v>-59.98</v>
      </c>
      <c r="G249" s="19"/>
      <c r="H249" s="27">
        <f>-3.64-72.22-95.52</f>
        <v>-171.38</v>
      </c>
      <c r="I249" s="19"/>
      <c r="J249" s="19"/>
      <c r="K249" s="19"/>
      <c r="L249" s="27"/>
      <c r="M249" s="30"/>
      <c r="N249" s="3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26">
        <v>45893.0</v>
      </c>
      <c r="B250" s="19"/>
      <c r="C250" s="27"/>
      <c r="D250" s="19"/>
      <c r="E250" s="19"/>
      <c r="F250" s="27">
        <f>-1-22-14</f>
        <v>-37</v>
      </c>
      <c r="G250" s="39">
        <v>-55.0</v>
      </c>
      <c r="H250" s="27"/>
      <c r="I250" s="27">
        <f>-15-20-13</f>
        <v>-48</v>
      </c>
      <c r="J250" s="27"/>
      <c r="K250" s="19"/>
      <c r="L250" s="19"/>
      <c r="M250" s="30"/>
      <c r="N250" s="3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26">
        <v>45894.0</v>
      </c>
      <c r="B251" s="19"/>
      <c r="C251" s="27"/>
      <c r="D251" s="19"/>
      <c r="E251" s="27"/>
      <c r="F251" s="27">
        <v>-9.0</v>
      </c>
      <c r="G251" s="27">
        <v>-64.99</v>
      </c>
      <c r="H251" s="27">
        <v>-9.0</v>
      </c>
      <c r="I251" s="27">
        <v>-5.08</v>
      </c>
      <c r="J251" s="19"/>
      <c r="K251" s="27"/>
      <c r="L251" s="27"/>
      <c r="M251" s="30"/>
      <c r="N251" s="3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26">
        <v>45895.0</v>
      </c>
      <c r="B252" s="19"/>
      <c r="C252" s="27"/>
      <c r="D252" s="19"/>
      <c r="E252" s="27"/>
      <c r="F252" s="19"/>
      <c r="G252" s="27"/>
      <c r="H252" s="27">
        <v>-75.34</v>
      </c>
      <c r="I252" s="27"/>
      <c r="J252" s="19"/>
      <c r="K252" s="19"/>
      <c r="L252" s="27"/>
      <c r="M252" s="30"/>
      <c r="N252" s="3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26">
        <v>45896.0</v>
      </c>
      <c r="B253" s="19"/>
      <c r="C253" s="27"/>
      <c r="D253" s="19"/>
      <c r="E253" s="19"/>
      <c r="F253" s="27"/>
      <c r="G253" s="27"/>
      <c r="H253" s="27">
        <v>-7.99</v>
      </c>
      <c r="I253" s="19"/>
      <c r="J253" s="19"/>
      <c r="K253" s="19"/>
      <c r="L253" s="19"/>
      <c r="M253" s="30"/>
      <c r="N253" s="3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26">
        <v>45897.0</v>
      </c>
      <c r="B254" s="19"/>
      <c r="C254" s="27"/>
      <c r="D254" s="19"/>
      <c r="E254" s="27"/>
      <c r="F254" s="19"/>
      <c r="G254" s="27"/>
      <c r="H254" s="19"/>
      <c r="I254" s="27"/>
      <c r="J254" s="19"/>
      <c r="K254" s="19"/>
      <c r="L254" s="27">
        <v>-34.6</v>
      </c>
      <c r="M254" s="30"/>
      <c r="N254" s="3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26">
        <v>45898.0</v>
      </c>
      <c r="B255" s="19"/>
      <c r="C255" s="27"/>
      <c r="D255" s="19"/>
      <c r="E255" s="19"/>
      <c r="F255" s="27">
        <f>-7.45-282.52</f>
        <v>-289.97</v>
      </c>
      <c r="G255" s="19"/>
      <c r="H255" s="27">
        <f>-18-19.99</f>
        <v>-37.99</v>
      </c>
      <c r="I255" s="27">
        <v>-38.57</v>
      </c>
      <c r="J255" s="27"/>
      <c r="K255" s="19"/>
      <c r="L255" s="27">
        <v>-87.05</v>
      </c>
      <c r="M255" s="30"/>
      <c r="N255" s="3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26">
        <v>45899.0</v>
      </c>
      <c r="B256" s="19"/>
      <c r="C256" s="27"/>
      <c r="D256" s="19"/>
      <c r="E256" s="19"/>
      <c r="F256" s="27"/>
      <c r="G256" s="19"/>
      <c r="H256" s="27">
        <f>-14.29-74.8-1.3</f>
        <v>-90.39</v>
      </c>
      <c r="I256" s="27">
        <v>-54.77</v>
      </c>
      <c r="J256" s="19"/>
      <c r="K256" s="19"/>
      <c r="L256" s="27"/>
      <c r="M256" s="30"/>
      <c r="N256" s="3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26">
        <v>45900.0</v>
      </c>
      <c r="B257" s="19"/>
      <c r="C257" s="27"/>
      <c r="D257" s="19"/>
      <c r="E257" s="19"/>
      <c r="F257" s="27"/>
      <c r="G257" s="27">
        <v>-55.0</v>
      </c>
      <c r="H257" s="27">
        <f>-1.4-9.94</f>
        <v>-11.34</v>
      </c>
      <c r="I257" s="27">
        <v>-39.47</v>
      </c>
      <c r="J257" s="19"/>
      <c r="K257" s="19"/>
      <c r="L257" s="27"/>
      <c r="M257" s="30"/>
      <c r="N257" s="3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26">
        <v>45901.0</v>
      </c>
      <c r="B258" s="19"/>
      <c r="C258" s="27"/>
      <c r="D258" s="19"/>
      <c r="E258" s="19"/>
      <c r="F258" s="27"/>
      <c r="G258" s="27">
        <f>-40.2-35.97-9.99</f>
        <v>-86.16</v>
      </c>
      <c r="H258" s="27">
        <f>-50</f>
        <v>-50</v>
      </c>
      <c r="I258" s="27">
        <v>-4.6</v>
      </c>
      <c r="J258" s="19"/>
      <c r="K258" s="19"/>
      <c r="L258" s="27"/>
      <c r="M258" s="30"/>
      <c r="N258" s="3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26">
        <v>45902.0</v>
      </c>
      <c r="B259" s="19"/>
      <c r="C259" s="27"/>
      <c r="D259" s="19"/>
      <c r="E259" s="19"/>
      <c r="F259" s="27">
        <v>-35.5</v>
      </c>
      <c r="G259" s="27"/>
      <c r="H259" s="27">
        <v>-70.68</v>
      </c>
      <c r="I259" s="19"/>
      <c r="J259" s="19"/>
      <c r="K259" s="19"/>
      <c r="L259" s="27"/>
      <c r="M259" s="30"/>
      <c r="N259" s="3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26">
        <v>45903.0</v>
      </c>
      <c r="B260" s="19"/>
      <c r="C260" s="27"/>
      <c r="D260" s="19"/>
      <c r="E260" s="19"/>
      <c r="F260" s="19"/>
      <c r="G260" s="27">
        <v>-86.16</v>
      </c>
      <c r="H260" s="19"/>
      <c r="I260" s="27">
        <v>-58.0</v>
      </c>
      <c r="J260" s="19"/>
      <c r="K260" s="27"/>
      <c r="L260" s="27">
        <v>-34.6</v>
      </c>
      <c r="M260" s="30"/>
      <c r="N260" s="3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26">
        <v>45904.0</v>
      </c>
      <c r="B261" s="19"/>
      <c r="C261" s="27"/>
      <c r="D261" s="19"/>
      <c r="E261" s="27"/>
      <c r="F261" s="27"/>
      <c r="G261" s="27"/>
      <c r="H261" s="27">
        <f>-13.2-12.85</f>
        <v>-26.05</v>
      </c>
      <c r="I261" s="27">
        <f>-8.38</f>
        <v>-8.38</v>
      </c>
      <c r="J261" s="19"/>
      <c r="K261" s="19"/>
      <c r="L261" s="19"/>
      <c r="M261" s="30"/>
      <c r="N261" s="3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26">
        <v>45905.0</v>
      </c>
      <c r="B262" s="19"/>
      <c r="C262" s="27"/>
      <c r="D262" s="19"/>
      <c r="E262" s="19"/>
      <c r="F262" s="27">
        <v>-129.95</v>
      </c>
      <c r="G262" s="27">
        <f>-29.17-77.45</f>
        <v>-106.62</v>
      </c>
      <c r="H262" s="19">
        <f>-74.49</f>
        <v>-74.49</v>
      </c>
      <c r="I262" s="27">
        <f>-7-7.45-25.86-7</f>
        <v>-47.31</v>
      </c>
      <c r="J262" s="27"/>
      <c r="K262" s="19"/>
      <c r="L262" s="27">
        <v>-87.05</v>
      </c>
      <c r="M262" s="30"/>
      <c r="N262" s="3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26">
        <v>45906.0</v>
      </c>
      <c r="B263" s="19"/>
      <c r="C263" s="27"/>
      <c r="D263" s="19"/>
      <c r="E263" s="27"/>
      <c r="F263" s="27">
        <v>-8.0</v>
      </c>
      <c r="G263" s="27"/>
      <c r="H263" s="27">
        <f>-22-108-3</f>
        <v>-133</v>
      </c>
      <c r="I263" s="27">
        <v>-22.0</v>
      </c>
      <c r="J263" s="19"/>
      <c r="K263" s="19"/>
      <c r="L263" s="2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26">
        <v>45907.0</v>
      </c>
      <c r="B264" s="19"/>
      <c r="C264" s="27"/>
      <c r="D264" s="19"/>
      <c r="E264" s="19"/>
      <c r="F264" s="27">
        <f>-14.99-14-26</f>
        <v>-54.99</v>
      </c>
      <c r="G264" s="27">
        <v>-55.0</v>
      </c>
      <c r="H264" s="27">
        <f>-28.6-5.6</f>
        <v>-34.2</v>
      </c>
      <c r="I264" s="27">
        <f>-50-13.05-13.66-3.93</f>
        <v>-80.64</v>
      </c>
      <c r="J264" s="19"/>
      <c r="K264" s="27"/>
      <c r="L264" s="1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26">
        <v>45908.0</v>
      </c>
      <c r="B265" s="19"/>
      <c r="C265" s="27"/>
      <c r="D265" s="19"/>
      <c r="E265" s="27"/>
      <c r="F265" s="27"/>
      <c r="G265" s="27"/>
      <c r="H265" s="27"/>
      <c r="I265" s="27"/>
      <c r="J265" s="19"/>
      <c r="K265" s="19"/>
      <c r="L265" s="2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26">
        <v>45909.0</v>
      </c>
      <c r="B266" s="19"/>
      <c r="C266" s="27"/>
      <c r="D266" s="19"/>
      <c r="E266" s="27"/>
      <c r="F266" s="19"/>
      <c r="H266" s="27"/>
      <c r="I266" s="19"/>
      <c r="J266" s="19"/>
      <c r="K266" s="19"/>
      <c r="L266" s="2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26">
        <v>45910.0</v>
      </c>
      <c r="B267" s="19"/>
      <c r="C267" s="27"/>
      <c r="D267" s="19"/>
      <c r="E267" s="27"/>
      <c r="F267" s="27"/>
      <c r="G267" s="27"/>
      <c r="H267" s="27">
        <v>-54.65</v>
      </c>
      <c r="I267" s="27">
        <v>-45.0</v>
      </c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26">
        <v>45911.0</v>
      </c>
      <c r="B268" s="19"/>
      <c r="C268" s="27"/>
      <c r="D268" s="19"/>
      <c r="E268" s="27"/>
      <c r="F268" s="27"/>
      <c r="G268" s="27"/>
      <c r="H268" s="27">
        <f>-2.2-37.16-28.53</f>
        <v>-67.89</v>
      </c>
      <c r="I268" s="27">
        <f>-15.9-8.39</f>
        <v>-24.29</v>
      </c>
      <c r="J268" s="19"/>
      <c r="K268" s="19"/>
      <c r="L268" s="27">
        <v>-34.6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26">
        <v>45912.0</v>
      </c>
      <c r="B269" s="19"/>
      <c r="C269" s="27"/>
      <c r="D269" s="19"/>
      <c r="E269" s="27"/>
      <c r="F269" s="27">
        <v>-15.0</v>
      </c>
      <c r="G269" s="27"/>
      <c r="H269" s="27">
        <f>-28-17.6-32</f>
        <v>-77.6</v>
      </c>
      <c r="I269" s="27">
        <v>-15.0</v>
      </c>
      <c r="J269" s="19"/>
      <c r="K269" s="19"/>
      <c r="L269" s="27">
        <v>-87.05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26">
        <v>45913.0</v>
      </c>
      <c r="B270" s="19"/>
      <c r="C270" s="27"/>
      <c r="D270" s="19"/>
      <c r="E270" s="27"/>
      <c r="F270" s="27">
        <f>-175-5.5</f>
        <v>-180.5</v>
      </c>
      <c r="G270" s="27"/>
      <c r="H270" s="27">
        <f>-15.42-20.7</f>
        <v>-36.12</v>
      </c>
      <c r="I270" s="39">
        <v>-54.81</v>
      </c>
      <c r="J270" s="19"/>
      <c r="K270" s="19"/>
      <c r="L270" s="2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26">
        <v>45914.0</v>
      </c>
      <c r="B271" s="19"/>
      <c r="C271" s="27"/>
      <c r="D271" s="19"/>
      <c r="E271" s="19"/>
      <c r="F271" s="27"/>
      <c r="G271" s="27">
        <v>-55.0</v>
      </c>
      <c r="H271" s="27">
        <f>-10-19.28</f>
        <v>-29.28</v>
      </c>
      <c r="I271" s="27">
        <f>-9-14-18</f>
        <v>-41</v>
      </c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26">
        <v>45915.0</v>
      </c>
      <c r="B272" s="19"/>
      <c r="C272" s="27"/>
      <c r="D272" s="19"/>
      <c r="E272" s="19"/>
      <c r="F272" s="27">
        <v>-16.25</v>
      </c>
      <c r="G272" s="27">
        <f>-40.2-35.97-34</f>
        <v>-110.17</v>
      </c>
      <c r="H272" s="27">
        <f>-31.77-63.62-37.49</f>
        <v>-132.88</v>
      </c>
      <c r="I272" s="27"/>
      <c r="J272" s="19"/>
      <c r="K272" s="19"/>
      <c r="L272" s="2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26">
        <v>45916.0</v>
      </c>
      <c r="B273" s="19"/>
      <c r="C273" s="27"/>
      <c r="D273" s="19"/>
      <c r="E273" s="27"/>
      <c r="F273" s="27">
        <v>100</v>
      </c>
      <c r="G273" s="27"/>
      <c r="H273" s="27"/>
      <c r="I273" s="19"/>
      <c r="J273" s="19"/>
      <c r="K273" s="27">
        <v>-2710.0</v>
      </c>
      <c r="L273" s="2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26">
        <v>45917.0</v>
      </c>
      <c r="B274" s="19"/>
      <c r="C274" s="27"/>
      <c r="D274" s="19"/>
      <c r="E274" s="27"/>
      <c r="F274" s="27"/>
      <c r="G274" s="27"/>
      <c r="H274" s="19">
        <f>-60.97-101.66</f>
        <v>-162.63</v>
      </c>
      <c r="I274" s="27">
        <v>-47.28</v>
      </c>
      <c r="J274" s="19"/>
      <c r="K274" s="27"/>
      <c r="L274" s="1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26">
        <v>45918.0</v>
      </c>
      <c r="B275" s="19"/>
      <c r="C275" s="27"/>
      <c r="D275" s="19"/>
      <c r="E275" s="19"/>
      <c r="F275" s="27">
        <v>-4489.8</v>
      </c>
      <c r="G275" s="27"/>
      <c r="H275" s="27"/>
      <c r="I275" s="27">
        <v>-4.5</v>
      </c>
      <c r="J275" s="19"/>
      <c r="K275" s="27">
        <v>-700.0</v>
      </c>
      <c r="L275" s="27">
        <v>-34.6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26">
        <v>45919.0</v>
      </c>
      <c r="B276" s="19"/>
      <c r="C276" s="27"/>
      <c r="D276" s="19"/>
      <c r="E276" s="27"/>
      <c r="F276" s="27">
        <f>-1-27.86</f>
        <v>-28.86</v>
      </c>
      <c r="G276" s="27"/>
      <c r="H276" s="19"/>
      <c r="I276" s="27"/>
      <c r="J276" s="19"/>
      <c r="K276" s="19"/>
      <c r="L276" s="27">
        <v>-130.57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26">
        <v>45920.0</v>
      </c>
      <c r="B277" s="19"/>
      <c r="C277" s="27"/>
      <c r="D277" s="19"/>
      <c r="E277" s="27"/>
      <c r="F277" s="27">
        <v>-2.0</v>
      </c>
      <c r="G277" s="27"/>
      <c r="H277" s="27"/>
      <c r="I277" s="27"/>
      <c r="J277" s="19"/>
      <c r="K277" s="19"/>
      <c r="L277" s="2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26">
        <v>45921.0</v>
      </c>
      <c r="B278" s="19"/>
      <c r="C278" s="27"/>
      <c r="D278" s="19"/>
      <c r="E278" s="19"/>
      <c r="F278" s="27"/>
      <c r="G278" s="27">
        <v>-55.0</v>
      </c>
      <c r="H278" s="27">
        <f>-22.87-6.21-23.89-33.46</f>
        <v>-86.43</v>
      </c>
      <c r="I278" s="27">
        <f>-36.31-25.5</f>
        <v>-61.81</v>
      </c>
      <c r="J278" s="19"/>
      <c r="K278" s="19"/>
      <c r="L278" s="1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26">
        <v>45922.0</v>
      </c>
      <c r="B279" s="19"/>
      <c r="C279" s="27"/>
      <c r="D279" s="19"/>
      <c r="E279" s="19"/>
      <c r="F279" s="27">
        <f>-13.99-52-18.5</f>
        <v>-84.49</v>
      </c>
      <c r="G279" s="27">
        <v>-10.2</v>
      </c>
      <c r="H279" s="27">
        <v>-11.5</v>
      </c>
      <c r="I279" s="27">
        <v>-5.0</v>
      </c>
      <c r="J279" s="19"/>
      <c r="K279" s="19"/>
      <c r="L279" s="2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26">
        <v>45923.0</v>
      </c>
      <c r="B280" s="19"/>
      <c r="C280" s="27"/>
      <c r="D280" s="19"/>
      <c r="E280" s="19"/>
      <c r="F280" s="27"/>
      <c r="G280" s="27">
        <v>50.0</v>
      </c>
      <c r="H280" s="19"/>
      <c r="I280" s="27"/>
      <c r="J280" s="19"/>
      <c r="K280" s="19"/>
      <c r="L280" s="2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26">
        <v>45924.0</v>
      </c>
      <c r="B281" s="19"/>
      <c r="C281" s="27"/>
      <c r="D281" s="19"/>
      <c r="E281" s="27">
        <v>-10.0</v>
      </c>
      <c r="F281" s="19"/>
      <c r="G281" s="27">
        <v>-64.99</v>
      </c>
      <c r="H281" s="27"/>
      <c r="I281" s="27">
        <f>-95.41-11.77-5.08</f>
        <v>-112.26</v>
      </c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26">
        <v>45925.0</v>
      </c>
      <c r="B282" s="19"/>
      <c r="C282" s="27"/>
      <c r="D282" s="19"/>
      <c r="E282" s="27"/>
      <c r="F282" s="27">
        <v>25</v>
      </c>
      <c r="G282" s="27"/>
      <c r="H282" s="27"/>
      <c r="I282" s="27"/>
      <c r="J282" s="19"/>
      <c r="K282" s="19"/>
      <c r="L282" s="27">
        <v>-34.6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26">
        <v>45926.0</v>
      </c>
      <c r="B283" s="19"/>
      <c r="C283" s="27"/>
      <c r="D283" s="19"/>
      <c r="E283" s="19"/>
      <c r="F283" s="27">
        <f>-104.51-19</f>
        <v>-123.51</v>
      </c>
      <c r="G283" s="27"/>
      <c r="H283" s="27">
        <f>-9.3-21.5-15.5-23.55</f>
        <v>-69.85</v>
      </c>
      <c r="I283" s="27"/>
      <c r="J283" s="19"/>
      <c r="K283" s="19"/>
      <c r="L283" s="27">
        <v>-87.05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26">
        <v>45927.0</v>
      </c>
      <c r="B284" s="19"/>
      <c r="C284" s="27"/>
      <c r="D284" s="19"/>
      <c r="E284" s="27"/>
      <c r="F284" s="27"/>
      <c r="G284" s="19"/>
      <c r="H284" s="27">
        <f>-5.56-9.95-62.35</f>
        <v>-77.86</v>
      </c>
      <c r="I284" s="19"/>
      <c r="J284" s="19"/>
      <c r="K284" s="19"/>
      <c r="L284" s="2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26">
        <v>45928.0</v>
      </c>
      <c r="B285" s="19"/>
      <c r="C285" s="27"/>
      <c r="D285" s="19"/>
      <c r="E285" s="27"/>
      <c r="F285" s="27"/>
      <c r="G285" s="27">
        <v>-55.0</v>
      </c>
      <c r="H285" s="27">
        <f>-4.7-39.99</f>
        <v>-44.69</v>
      </c>
      <c r="I285" s="27">
        <v>-78.0</v>
      </c>
      <c r="J285" s="27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26">
        <v>45929.0</v>
      </c>
      <c r="B286" s="19"/>
      <c r="C286" s="27"/>
      <c r="D286" s="19"/>
      <c r="E286" s="27"/>
      <c r="F286" s="27">
        <v>-6.0</v>
      </c>
      <c r="G286" s="27">
        <f>-5.74-35.97</f>
        <v>-41.71</v>
      </c>
      <c r="H286" s="27">
        <v>-13.5</v>
      </c>
      <c r="I286" s="27"/>
      <c r="J286" s="19"/>
      <c r="K286" s="19"/>
      <c r="L286" s="2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26">
        <v>45930.0</v>
      </c>
      <c r="B287" s="19"/>
      <c r="C287" s="27"/>
      <c r="D287" s="19"/>
      <c r="E287" s="27">
        <v>-4.0</v>
      </c>
      <c r="F287" s="27">
        <f>-12-5-508-19.95</f>
        <v>-544.95</v>
      </c>
      <c r="G287" s="27">
        <v>-553.7</v>
      </c>
      <c r="H287" s="27">
        <v>-42.95</v>
      </c>
      <c r="I287" s="27"/>
      <c r="J287" s="19"/>
      <c r="K287" s="19"/>
      <c r="L287" s="2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26">
        <v>45931.0</v>
      </c>
      <c r="B288" s="19"/>
      <c r="C288" s="27"/>
      <c r="D288" s="19"/>
      <c r="E288" s="27">
        <v>-90.0</v>
      </c>
      <c r="F288" s="27"/>
      <c r="G288" s="27">
        <v>-9.99</v>
      </c>
      <c r="H288" s="19"/>
      <c r="I288" s="27"/>
      <c r="J288" s="19"/>
      <c r="K288" s="27"/>
      <c r="L288" s="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26">
        <v>45932.0</v>
      </c>
      <c r="B289" s="19"/>
      <c r="C289" s="27"/>
      <c r="D289" s="19"/>
      <c r="E289" s="27"/>
      <c r="F289" s="27"/>
      <c r="G289" s="19"/>
      <c r="H289" s="19"/>
      <c r="I289" s="19"/>
      <c r="J289" s="19"/>
      <c r="K289" s="19"/>
      <c r="L289" s="27">
        <v>-51.96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26">
        <v>45933.0</v>
      </c>
      <c r="B290" s="19"/>
      <c r="C290" s="27"/>
      <c r="D290" s="19"/>
      <c r="E290" s="19"/>
      <c r="F290" s="27">
        <v>-62.0</v>
      </c>
      <c r="G290" s="27"/>
      <c r="H290" s="27"/>
      <c r="I290" s="19"/>
      <c r="J290" s="19"/>
      <c r="K290" s="19"/>
      <c r="L290" s="27">
        <v>-74.85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26">
        <v>45934.0</v>
      </c>
      <c r="B291" s="19"/>
      <c r="C291" s="27"/>
      <c r="D291" s="19"/>
      <c r="E291" s="19"/>
      <c r="F291" s="27"/>
      <c r="G291" s="27"/>
      <c r="H291" s="27"/>
      <c r="I291" s="19"/>
      <c r="J291" s="19"/>
      <c r="K291" s="19"/>
      <c r="L291" s="2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26">
        <v>45935.0</v>
      </c>
      <c r="B292" s="19"/>
      <c r="C292" s="27"/>
      <c r="D292" s="19"/>
      <c r="E292" s="19"/>
      <c r="F292" s="27"/>
      <c r="G292" s="27"/>
      <c r="H292" s="27"/>
      <c r="I292" s="27"/>
      <c r="J292" s="19"/>
      <c r="K292" s="27"/>
      <c r="L292" s="1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26">
        <v>45936.0</v>
      </c>
      <c r="B293" s="19"/>
      <c r="C293" s="27"/>
      <c r="D293" s="19"/>
      <c r="E293" s="27"/>
      <c r="F293" s="27"/>
      <c r="G293" s="27"/>
      <c r="H293" s="27"/>
      <c r="I293" s="27"/>
      <c r="J293" s="19"/>
      <c r="K293" s="27"/>
      <c r="L293" s="27"/>
      <c r="M293" s="8"/>
      <c r="N293" s="8"/>
      <c r="O293" s="29"/>
      <c r="P293" s="29"/>
      <c r="Q293" s="29"/>
      <c r="R293" s="29"/>
      <c r="S293" s="29"/>
      <c r="T293" s="29"/>
      <c r="U293" s="29"/>
      <c r="V293" s="29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26">
        <v>45937.0</v>
      </c>
      <c r="B294" s="19"/>
      <c r="C294" s="27"/>
      <c r="D294" s="19"/>
      <c r="E294" s="27"/>
      <c r="F294" s="27"/>
      <c r="G294" s="27"/>
      <c r="H294" s="27"/>
      <c r="I294" s="27"/>
      <c r="J294" s="19"/>
      <c r="K294" s="27"/>
      <c r="L294" s="2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26">
        <v>45938.0</v>
      </c>
      <c r="B295" s="19"/>
      <c r="C295" s="27"/>
      <c r="D295" s="19"/>
      <c r="E295" s="27"/>
      <c r="F295" s="27"/>
      <c r="G295" s="27"/>
      <c r="H295" s="27"/>
      <c r="I295" s="27"/>
      <c r="J295" s="19"/>
      <c r="K295" s="19"/>
      <c r="L295" s="27">
        <v>-34.54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26">
        <v>45939.0</v>
      </c>
      <c r="B296" s="19"/>
      <c r="C296" s="27"/>
      <c r="D296" s="19"/>
      <c r="E296" s="19"/>
      <c r="F296" s="27"/>
      <c r="G296" s="27"/>
      <c r="I296" s="27"/>
      <c r="J296" s="19"/>
      <c r="K296" s="19"/>
      <c r="L296" s="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26">
        <v>45940.0</v>
      </c>
      <c r="B297" s="19"/>
      <c r="C297" s="27"/>
      <c r="D297" s="19"/>
      <c r="E297" s="27"/>
      <c r="F297" s="27"/>
      <c r="G297" s="27"/>
      <c r="I297" s="27"/>
      <c r="J297" s="19"/>
      <c r="K297" s="19"/>
      <c r="L297" s="27">
        <v>-62.66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26">
        <v>45941.0</v>
      </c>
      <c r="B298" s="19"/>
      <c r="C298" s="27"/>
      <c r="D298" s="19"/>
      <c r="E298" s="27"/>
      <c r="F298" s="27"/>
      <c r="G298" s="27"/>
      <c r="H298" s="27"/>
      <c r="I298" s="19"/>
      <c r="J298" s="19"/>
      <c r="K298" s="19"/>
      <c r="L298" s="2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26">
        <v>45942.0</v>
      </c>
      <c r="B299" s="19"/>
      <c r="C299" s="27"/>
      <c r="D299" s="19"/>
      <c r="E299" s="27"/>
      <c r="F299" s="27"/>
      <c r="G299" s="27"/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26">
        <v>45943.0</v>
      </c>
      <c r="B300" s="19"/>
      <c r="C300" s="27"/>
      <c r="D300" s="19"/>
      <c r="E300" s="27"/>
      <c r="F300" s="27"/>
      <c r="G300" s="27">
        <f>-29.64-35.97</f>
        <v>-65.61</v>
      </c>
      <c r="I300" s="19"/>
      <c r="J300" s="19"/>
      <c r="K300" s="19"/>
      <c r="L300" s="2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26">
        <v>45944.0</v>
      </c>
      <c r="B301" s="19"/>
      <c r="C301" s="27"/>
      <c r="D301" s="19"/>
      <c r="E301" s="27">
        <v>-120.0</v>
      </c>
      <c r="F301" s="27"/>
      <c r="G301" s="27">
        <f>-29.17-27.68</f>
        <v>-56.85</v>
      </c>
      <c r="H301" s="19">
        <f>-2.79-49</f>
        <v>-51.79</v>
      </c>
      <c r="I301" s="27"/>
      <c r="J301" s="19"/>
      <c r="K301" s="19"/>
      <c r="L301" s="27">
        <v>-34.6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26">
        <v>45945.0</v>
      </c>
      <c r="B302" s="19"/>
      <c r="C302" s="27"/>
      <c r="D302" s="19"/>
      <c r="E302" s="27"/>
      <c r="F302" s="27"/>
      <c r="G302" s="27">
        <v>-34.0</v>
      </c>
      <c r="H302" s="27">
        <f>-61.57-36.62-147.1</f>
        <v>-245.29</v>
      </c>
      <c r="I302" s="27"/>
      <c r="J302" s="19"/>
      <c r="K302" s="19"/>
      <c r="L302" s="1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26">
        <v>45946.0</v>
      </c>
      <c r="B303" s="19"/>
      <c r="C303" s="27"/>
      <c r="D303" s="19"/>
      <c r="E303" s="27"/>
      <c r="F303" s="27"/>
      <c r="G303" s="27"/>
      <c r="H303" s="19"/>
      <c r="I303" s="27"/>
      <c r="J303" s="19"/>
      <c r="K303" s="19">
        <f>-10-2700-500-200</f>
        <v>-3410</v>
      </c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26">
        <v>45947.0</v>
      </c>
      <c r="B304" s="19"/>
      <c r="C304" s="27"/>
      <c r="D304" s="19"/>
      <c r="E304" s="27">
        <v>-20.0</v>
      </c>
      <c r="F304" s="19"/>
      <c r="G304" s="27"/>
      <c r="H304" s="19"/>
      <c r="I304" s="27"/>
      <c r="J304" s="19"/>
      <c r="K304" s="19"/>
      <c r="L304" s="27">
        <v>-74.85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26">
        <v>45948.0</v>
      </c>
      <c r="B305" s="19"/>
      <c r="C305" s="27"/>
      <c r="D305" s="19"/>
      <c r="E305" s="19"/>
      <c r="F305" s="27">
        <f>-74-96.01-207.99-387.24-79.95</f>
        <v>-845.19</v>
      </c>
      <c r="G305" s="27"/>
      <c r="H305" s="27">
        <f>-25.39-23.26</f>
        <v>-48.65</v>
      </c>
      <c r="I305" s="27"/>
      <c r="J305" s="19"/>
      <c r="K305" s="19"/>
      <c r="L305" s="2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26">
        <v>45949.0</v>
      </c>
      <c r="B306" s="19"/>
      <c r="C306" s="27"/>
      <c r="D306" s="19"/>
      <c r="E306" s="27"/>
      <c r="F306" s="27">
        <v>-4.0</v>
      </c>
      <c r="G306" s="27"/>
      <c r="H306" s="27"/>
      <c r="I306" s="19"/>
      <c r="J306" s="19"/>
      <c r="K306" s="19"/>
      <c r="L306" s="1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26">
        <v>45950.0</v>
      </c>
      <c r="B307" s="19"/>
      <c r="C307" s="27"/>
      <c r="D307" s="19"/>
      <c r="E307" s="27"/>
      <c r="F307" s="27">
        <v>-55.6</v>
      </c>
      <c r="G307" s="19"/>
      <c r="H307" s="27">
        <v>-34.3</v>
      </c>
      <c r="I307" s="19"/>
      <c r="J307" s="19"/>
      <c r="K307" s="19"/>
      <c r="L307" s="2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26">
        <v>45951.0</v>
      </c>
      <c r="B308" s="19"/>
      <c r="C308" s="27"/>
      <c r="D308" s="19"/>
      <c r="E308" s="19"/>
      <c r="F308" s="27"/>
      <c r="G308" s="27"/>
      <c r="H308" s="19"/>
      <c r="I308" s="27"/>
      <c r="J308" s="19"/>
      <c r="K308" s="27"/>
      <c r="L308" s="2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26">
        <v>45952.0</v>
      </c>
      <c r="B309" s="19"/>
      <c r="C309" s="27"/>
      <c r="D309" s="19"/>
      <c r="E309" s="27"/>
      <c r="F309" s="27">
        <f>-11.12-111.65</f>
        <v>-122.77</v>
      </c>
      <c r="G309" s="27">
        <f>-10.2-55</f>
        <v>-65.2</v>
      </c>
      <c r="H309" s="27">
        <f>-4.8-11.73-54.54-30.15-14.99</f>
        <v>-116.21</v>
      </c>
      <c r="I309" s="27"/>
      <c r="J309" s="27"/>
      <c r="K309" s="19"/>
      <c r="L309" s="27">
        <v>-34.6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26">
        <v>45953.0</v>
      </c>
      <c r="B310" s="19"/>
      <c r="C310" s="27"/>
      <c r="D310" s="19"/>
      <c r="E310" s="19"/>
      <c r="F310" s="27"/>
      <c r="G310" s="27">
        <f>-7.73-273</f>
        <v>-280.73</v>
      </c>
      <c r="H310" s="19"/>
      <c r="I310" s="19"/>
      <c r="J310" s="19"/>
      <c r="K310" s="19"/>
      <c r="L310" s="1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26">
        <v>45954.0</v>
      </c>
      <c r="B311" s="19"/>
      <c r="C311" s="27"/>
      <c r="D311" s="19"/>
      <c r="E311" s="27"/>
      <c r="F311" s="27"/>
      <c r="G311" s="27"/>
      <c r="H311" s="19"/>
      <c r="I311" s="27"/>
      <c r="J311" s="19"/>
      <c r="K311" s="27"/>
      <c r="L311" s="27">
        <v>-87.05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26">
        <v>45955.0</v>
      </c>
      <c r="B312" s="19"/>
      <c r="C312" s="27"/>
      <c r="D312" s="19"/>
      <c r="E312" s="27"/>
      <c r="F312" s="27"/>
      <c r="G312" s="27">
        <v>-0.27</v>
      </c>
      <c r="H312" s="27">
        <f>-35.16-34.57-21.8-9.4-13</f>
        <v>-113.93</v>
      </c>
      <c r="I312" s="27">
        <f>-17.2-30.36</f>
        <v>-47.56</v>
      </c>
      <c r="J312" s="19"/>
      <c r="K312" s="19"/>
      <c r="L312" s="2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26">
        <v>45956.0</v>
      </c>
      <c r="B313" s="19"/>
      <c r="C313" s="27"/>
      <c r="D313" s="19"/>
      <c r="E313" s="27">
        <v>-6.04</v>
      </c>
      <c r="F313" s="27"/>
      <c r="G313" s="27"/>
      <c r="H313" s="27">
        <v>-82.48</v>
      </c>
      <c r="I313" s="27">
        <v>-10.65</v>
      </c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26">
        <v>45957.0</v>
      </c>
      <c r="B314" s="19"/>
      <c r="C314" s="27"/>
      <c r="D314" s="19"/>
      <c r="E314" s="27"/>
      <c r="F314" s="27">
        <v>-44.47</v>
      </c>
      <c r="G314" s="27">
        <v>-64.99</v>
      </c>
      <c r="H314" s="27">
        <v>-20.5</v>
      </c>
      <c r="I314" s="19"/>
      <c r="J314" s="19"/>
      <c r="K314" s="19"/>
      <c r="L314" s="2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26">
        <v>45958.0</v>
      </c>
      <c r="B315" s="19"/>
      <c r="C315" s="27"/>
      <c r="D315" s="19"/>
      <c r="E315" s="19"/>
      <c r="F315" s="19"/>
      <c r="G315" s="27">
        <f>-41.5-35.97</f>
        <v>-77.47</v>
      </c>
      <c r="I315" s="27"/>
      <c r="J315" s="19"/>
      <c r="K315" s="19"/>
      <c r="L315" s="2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26">
        <v>45959.0</v>
      </c>
      <c r="B316" s="19"/>
      <c r="C316" s="27"/>
      <c r="D316" s="19"/>
      <c r="E316" s="27"/>
      <c r="F316" s="27"/>
      <c r="G316" s="27"/>
      <c r="H316" s="19"/>
      <c r="I316" s="27">
        <v>-34.0</v>
      </c>
      <c r="J316" s="19"/>
      <c r="K316" s="19"/>
      <c r="L316" s="1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26">
        <v>45960.0</v>
      </c>
      <c r="B317" s="19"/>
      <c r="C317" s="27"/>
      <c r="D317" s="19"/>
      <c r="E317" s="19"/>
      <c r="F317" s="27">
        <v>-76.73</v>
      </c>
      <c r="G317" s="27">
        <v>-305.72</v>
      </c>
      <c r="H317" s="27">
        <f>-6.5-69.24-20.22</f>
        <v>-95.96</v>
      </c>
      <c r="I317" s="27">
        <v>-17.0</v>
      </c>
      <c r="J317" s="19"/>
      <c r="K317" s="19"/>
      <c r="L317" s="27">
        <v>-34.64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26">
        <v>45961.0</v>
      </c>
      <c r="B318" s="19"/>
      <c r="C318" s="27"/>
      <c r="D318" s="19"/>
      <c r="E318" s="27"/>
      <c r="F318" s="27"/>
      <c r="G318" s="27">
        <f>-110.65-10.7</f>
        <v>-121.35</v>
      </c>
      <c r="H318" s="27"/>
      <c r="I318" s="27">
        <v>-6.99</v>
      </c>
      <c r="J318" s="19"/>
      <c r="K318" s="19"/>
      <c r="L318" s="27">
        <v>-87.05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26">
        <v>45962.0</v>
      </c>
      <c r="B319" s="19"/>
      <c r="C319" s="27"/>
      <c r="D319" s="19"/>
      <c r="E319" s="27"/>
      <c r="F319" s="27"/>
      <c r="G319" s="27">
        <f>-9.99-2.69</f>
        <v>-12.68</v>
      </c>
      <c r="H319" s="19">
        <f>-109.91-11.5</f>
        <v>-121.41</v>
      </c>
      <c r="I319" s="27">
        <v>-54.77</v>
      </c>
      <c r="J319" s="19"/>
      <c r="K319" s="19"/>
      <c r="L319" s="2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26">
        <v>45963.0</v>
      </c>
      <c r="B320" s="19"/>
      <c r="C320" s="27"/>
      <c r="D320" s="19"/>
      <c r="E320" s="19"/>
      <c r="F320" s="27">
        <f>-15.43-5</f>
        <v>-20.43</v>
      </c>
      <c r="G320" s="19"/>
      <c r="H320" s="27">
        <f>-16.8-32.78-11.07-42</f>
        <v>-102.65</v>
      </c>
      <c r="I320" s="27">
        <f>-9.94-2-18.95-33-2</f>
        <v>-65.89</v>
      </c>
      <c r="J320" s="19"/>
      <c r="K320" s="19"/>
      <c r="L320" s="1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26">
        <v>45964.0</v>
      </c>
      <c r="B321" s="19"/>
      <c r="C321" s="27"/>
      <c r="D321" s="19"/>
      <c r="E321" s="27"/>
      <c r="F321" s="27"/>
      <c r="G321" s="27"/>
      <c r="H321" s="27"/>
      <c r="I321" s="27"/>
      <c r="J321" s="19"/>
      <c r="K321" s="19"/>
      <c r="L321" s="2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26">
        <v>45965.0</v>
      </c>
      <c r="B322" s="19"/>
      <c r="C322" s="27"/>
      <c r="D322" s="19"/>
      <c r="E322" s="27"/>
      <c r="F322" s="27">
        <v>-6.0</v>
      </c>
      <c r="G322" s="27">
        <v>-0.35</v>
      </c>
      <c r="H322" s="27">
        <v>-23.0</v>
      </c>
      <c r="I322" s="27"/>
      <c r="J322" s="19"/>
      <c r="K322" s="27"/>
      <c r="L322" s="2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26">
        <v>45966.0</v>
      </c>
      <c r="B323" s="19"/>
      <c r="C323" s="27"/>
      <c r="D323" s="19"/>
      <c r="E323" s="27"/>
      <c r="F323" s="27">
        <v>-17.45</v>
      </c>
      <c r="G323" s="27">
        <f>-55-29.01</f>
        <v>-84.01</v>
      </c>
      <c r="H323" s="19">
        <f>-5-13.81-40.74</f>
        <v>-59.55</v>
      </c>
      <c r="I323" s="19"/>
      <c r="J323" s="19"/>
      <c r="K323" s="27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26">
        <v>45967.0</v>
      </c>
      <c r="B324" s="19"/>
      <c r="C324" s="27"/>
      <c r="D324" s="19"/>
      <c r="E324" s="27"/>
      <c r="F324" s="27">
        <v>-16.25</v>
      </c>
      <c r="G324" s="27"/>
      <c r="H324" s="27">
        <f>-33.4-0.8</f>
        <v>-34.2</v>
      </c>
      <c r="I324" s="27"/>
      <c r="J324" s="19"/>
      <c r="K324" s="19"/>
      <c r="L324" s="1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26">
        <v>45968.0</v>
      </c>
      <c r="B325" s="19"/>
      <c r="C325" s="27"/>
      <c r="D325" s="19"/>
      <c r="E325" s="27"/>
      <c r="F325" s="27"/>
      <c r="G325" s="27"/>
      <c r="H325" s="27">
        <v>-17.5</v>
      </c>
      <c r="I325" s="27"/>
      <c r="J325" s="19"/>
      <c r="K325" s="19"/>
      <c r="L325" s="27">
        <v>-87.05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26">
        <v>45969.0</v>
      </c>
      <c r="B326" s="19"/>
      <c r="C326" s="27"/>
      <c r="D326" s="19"/>
      <c r="E326" s="19"/>
      <c r="F326" s="27"/>
      <c r="G326" s="27"/>
      <c r="H326" s="27">
        <f>-25.52-7.86-41.61</f>
        <v>-74.99</v>
      </c>
      <c r="I326" s="19">
        <f>-2.5-13</f>
        <v>-15.5</v>
      </c>
      <c r="J326" s="19"/>
      <c r="K326" s="19"/>
      <c r="L326" s="2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26">
        <v>45970.0</v>
      </c>
      <c r="B327" s="19"/>
      <c r="C327" s="27"/>
      <c r="D327" s="19"/>
      <c r="E327" s="27"/>
      <c r="F327" s="27">
        <f>-9.13-34.98</f>
        <v>-44.11</v>
      </c>
      <c r="G327" s="27"/>
      <c r="H327" s="27">
        <v>-1.9</v>
      </c>
      <c r="I327" s="27">
        <f>-9-31.46</f>
        <v>-40.46</v>
      </c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26">
        <v>45971.0</v>
      </c>
      <c r="B328" s="19"/>
      <c r="C328" s="27"/>
      <c r="D328" s="19"/>
      <c r="E328" s="27"/>
      <c r="F328" s="27">
        <v>-68.95</v>
      </c>
      <c r="G328" s="27">
        <f>-41.5-35.97</f>
        <v>-77.47</v>
      </c>
      <c r="H328" s="27">
        <v>-14.99</v>
      </c>
      <c r="I328" s="27"/>
      <c r="J328" s="19"/>
      <c r="K328" s="27"/>
      <c r="L328" s="27">
        <v>-34.56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26">
        <v>45972.0</v>
      </c>
      <c r="B329" s="19"/>
      <c r="C329" s="27"/>
      <c r="D329" s="19"/>
      <c r="E329" s="27">
        <v>-1.5</v>
      </c>
      <c r="F329" s="27">
        <v>-19.99</v>
      </c>
      <c r="G329" s="27"/>
      <c r="H329" s="27">
        <v>-42.35</v>
      </c>
      <c r="I329" s="27">
        <v>-54.81</v>
      </c>
      <c r="J329" s="19"/>
      <c r="K329" s="27"/>
      <c r="L329" s="2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26">
        <v>45973.0</v>
      </c>
      <c r="B330" s="19"/>
      <c r="C330" s="27"/>
      <c r="D330" s="19"/>
      <c r="E330" s="19"/>
      <c r="F330" s="27">
        <v>-562.47</v>
      </c>
      <c r="G330" s="27"/>
      <c r="H330" s="19"/>
      <c r="I330" s="27"/>
      <c r="J330" s="19"/>
      <c r="K330" s="27"/>
      <c r="L330" s="27">
        <v>-34.6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26">
        <v>45974.0</v>
      </c>
      <c r="B331" s="19"/>
      <c r="C331" s="27"/>
      <c r="D331" s="19"/>
      <c r="E331" s="27"/>
      <c r="F331" s="19"/>
      <c r="G331" s="27">
        <v>-33.78</v>
      </c>
      <c r="H331" s="27">
        <f>-40.3-16.47</f>
        <v>-56.77</v>
      </c>
      <c r="I331" s="27">
        <v>-8.39</v>
      </c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26">
        <v>45975.0</v>
      </c>
      <c r="B332" s="19"/>
      <c r="C332" s="27"/>
      <c r="D332" s="19"/>
      <c r="E332" s="27">
        <v>-1575.63</v>
      </c>
      <c r="F332" s="27"/>
      <c r="G332" s="27">
        <v>-1.18</v>
      </c>
      <c r="H332" s="27">
        <v>-11.2</v>
      </c>
      <c r="I332" s="19"/>
      <c r="J332" s="19"/>
      <c r="K332" s="19"/>
      <c r="L332" s="27">
        <v>-87.05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26">
        <v>45976.0</v>
      </c>
      <c r="B333" s="19"/>
      <c r="C333" s="27"/>
      <c r="D333" s="19"/>
      <c r="E333" s="27"/>
      <c r="F333" s="27">
        <f>-6.9-43.66</f>
        <v>-50.56</v>
      </c>
      <c r="G333" s="27">
        <v>-34.0</v>
      </c>
      <c r="H333" s="27"/>
      <c r="I333" s="27">
        <f>-4.24-33.4</f>
        <v>-37.64</v>
      </c>
      <c r="K333" s="19"/>
      <c r="L333" s="27"/>
      <c r="M333" s="27">
        <v>6550.0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26">
        <v>45977.0</v>
      </c>
      <c r="B334" s="19"/>
      <c r="C334" s="27"/>
      <c r="D334" s="19"/>
      <c r="E334" s="27"/>
      <c r="F334" s="27"/>
      <c r="G334" s="27"/>
      <c r="H334" s="27">
        <v>-20.6</v>
      </c>
      <c r="I334" s="27"/>
      <c r="J334" s="19"/>
      <c r="K334" s="27">
        <v>-10.0</v>
      </c>
      <c r="L334" s="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26">
        <v>45978.0</v>
      </c>
      <c r="B335" s="19"/>
      <c r="C335" s="27"/>
      <c r="D335" s="19"/>
      <c r="E335" s="27"/>
      <c r="F335" s="27">
        <v>-6.9</v>
      </c>
      <c r="G335" s="27"/>
      <c r="H335" s="27">
        <f>-8.4-26.95-19</f>
        <v>-54.35</v>
      </c>
      <c r="I335" s="27">
        <f>-55-4.3</f>
        <v>-59.3</v>
      </c>
      <c r="J335" s="19"/>
      <c r="K335" s="19"/>
      <c r="L335" s="2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26">
        <v>45979.0</v>
      </c>
      <c r="B336" s="19"/>
      <c r="C336" s="27"/>
      <c r="D336" s="19"/>
      <c r="E336" s="27"/>
      <c r="F336" s="27"/>
      <c r="G336" s="19"/>
      <c r="H336" s="27">
        <v>-34.0</v>
      </c>
      <c r="I336" s="27">
        <v>-14.15</v>
      </c>
      <c r="J336" s="19"/>
      <c r="K336" s="27">
        <v>-2700.0</v>
      </c>
      <c r="L336" s="2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26">
        <v>45980.0</v>
      </c>
      <c r="B337" s="19"/>
      <c r="C337" s="27"/>
      <c r="D337" s="19"/>
      <c r="E337" s="27"/>
      <c r="F337" s="27"/>
      <c r="G337" s="27">
        <v>-55.0</v>
      </c>
      <c r="H337" s="27"/>
      <c r="I337" s="27"/>
      <c r="J337" s="19"/>
      <c r="K337" s="19"/>
      <c r="L337" s="27">
        <v>-51.92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26">
        <v>45981.0</v>
      </c>
      <c r="B338" s="19"/>
      <c r="C338" s="27"/>
      <c r="D338" s="19"/>
      <c r="E338" s="27"/>
      <c r="F338" s="27"/>
      <c r="G338" s="19"/>
      <c r="H338" s="27">
        <v>-85.0</v>
      </c>
      <c r="I338" s="27">
        <v>-42.0</v>
      </c>
      <c r="J338" s="19"/>
      <c r="K338" s="19"/>
      <c r="L338" s="2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26">
        <v>45982.0</v>
      </c>
      <c r="B339" s="19"/>
      <c r="C339" s="27"/>
      <c r="D339" s="19"/>
      <c r="E339" s="27"/>
      <c r="F339" s="27">
        <f>-17.8</f>
        <v>-17.8</v>
      </c>
      <c r="G339" s="27"/>
      <c r="H339" s="19"/>
      <c r="I339" s="27"/>
      <c r="J339" s="19"/>
      <c r="K339" s="19"/>
      <c r="L339" s="27">
        <v>-87.05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26">
        <v>45983.0</v>
      </c>
      <c r="B340" s="19"/>
      <c r="C340" s="27"/>
      <c r="D340" s="19"/>
      <c r="E340" s="19"/>
      <c r="F340" s="27"/>
      <c r="G340" s="27"/>
      <c r="H340" s="27">
        <f>-23.5-9.5</f>
        <v>-33</v>
      </c>
      <c r="I340" s="27">
        <f>-6.5-8.8+3</f>
        <v>-12.3</v>
      </c>
      <c r="J340" s="19"/>
      <c r="K340" s="19"/>
      <c r="L340" s="2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26">
        <v>45984.0</v>
      </c>
      <c r="B341" s="19"/>
      <c r="C341" s="27"/>
      <c r="D341" s="19"/>
      <c r="E341" s="27"/>
      <c r="F341" s="27">
        <v>-65.5</v>
      </c>
      <c r="G341" s="27"/>
      <c r="H341" s="27">
        <v>-44.65</v>
      </c>
      <c r="I341" s="27"/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26">
        <v>45985.0</v>
      </c>
      <c r="B342" s="19"/>
      <c r="C342" s="27"/>
      <c r="D342" s="19"/>
      <c r="E342" s="27"/>
      <c r="F342" s="27">
        <v>-15.0</v>
      </c>
      <c r="G342" s="27">
        <f>-10.2-41.5-35.97</f>
        <v>-87.67</v>
      </c>
      <c r="H342" s="27"/>
      <c r="I342" s="27">
        <v>-5.08</v>
      </c>
      <c r="J342" s="19"/>
      <c r="K342" s="27">
        <v>-700.0</v>
      </c>
      <c r="L342" s="2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26">
        <v>45986.0</v>
      </c>
      <c r="B343" s="19"/>
      <c r="C343" s="27"/>
      <c r="D343" s="19"/>
      <c r="E343" s="19"/>
      <c r="F343" s="27"/>
      <c r="G343" s="27">
        <v>-12.0</v>
      </c>
      <c r="H343" s="27">
        <f>-12.55-9.17-25.17</f>
        <v>-46.89</v>
      </c>
      <c r="I343" s="19"/>
      <c r="J343" s="19"/>
      <c r="K343" s="19"/>
      <c r="L343" s="27">
        <v>-34.58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26">
        <v>45987.0</v>
      </c>
      <c r="B344" s="19"/>
      <c r="C344" s="27"/>
      <c r="D344" s="19"/>
      <c r="E344" s="27"/>
      <c r="F344" s="27">
        <f>-20-58</f>
        <v>-78</v>
      </c>
      <c r="G344" s="39">
        <f>-405-144.99</f>
        <v>-549.99</v>
      </c>
      <c r="H344" s="27"/>
      <c r="I344" s="27">
        <v>-18.32</v>
      </c>
      <c r="J344" s="19"/>
      <c r="K344" s="19"/>
      <c r="L344" s="1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26">
        <v>45988.0</v>
      </c>
      <c r="B345" s="19"/>
      <c r="C345" s="27"/>
      <c r="D345" s="19"/>
      <c r="E345" s="27"/>
      <c r="F345" s="19"/>
      <c r="G345" s="27"/>
      <c r="H345" s="27">
        <v>-7.99</v>
      </c>
      <c r="I345" s="27"/>
      <c r="J345" s="19"/>
      <c r="K345" s="19"/>
      <c r="L345" s="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26">
        <v>45989.0</v>
      </c>
      <c r="B346" s="19"/>
      <c r="C346" s="27"/>
      <c r="D346" s="19"/>
      <c r="E346" s="27">
        <v>-20.0</v>
      </c>
      <c r="F346" s="27">
        <f>-29.75-17-9</f>
        <v>-55.75</v>
      </c>
      <c r="G346" s="27">
        <v>-113.24</v>
      </c>
      <c r="H346" s="27">
        <f>-2-27.9</f>
        <v>-29.9</v>
      </c>
      <c r="I346" s="27">
        <f>-18.98-15.33</f>
        <v>-34.31</v>
      </c>
      <c r="J346" s="19"/>
      <c r="K346" s="19"/>
      <c r="L346" s="27">
        <v>-87.05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26">
        <v>45990.0</v>
      </c>
      <c r="B347" s="19"/>
      <c r="C347" s="27"/>
      <c r="D347" s="19"/>
      <c r="E347" s="27"/>
      <c r="F347" s="27"/>
      <c r="G347" s="27"/>
      <c r="H347" s="19"/>
      <c r="I347" s="27">
        <f>-40-36.51</f>
        <v>-76.51</v>
      </c>
      <c r="J347" s="19"/>
      <c r="K347" s="19"/>
      <c r="L347" s="2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26">
        <v>45991.0</v>
      </c>
      <c r="B348" s="19"/>
      <c r="C348" s="27"/>
      <c r="D348" s="19"/>
      <c r="E348" s="27"/>
      <c r="F348" s="27">
        <f>-24.72-25.98-19</f>
        <v>-69.7</v>
      </c>
      <c r="G348" s="27"/>
      <c r="H348" s="27">
        <f>-46.59-15.02</f>
        <v>-61.61</v>
      </c>
      <c r="I348" s="27">
        <v>-22.65</v>
      </c>
      <c r="J348" s="19"/>
      <c r="K348" s="19"/>
      <c r="L348" s="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26">
        <v>45992.0</v>
      </c>
      <c r="B349" s="19"/>
      <c r="C349" s="27"/>
      <c r="D349" s="19"/>
      <c r="E349" s="19"/>
      <c r="F349" s="27">
        <v>-24.0</v>
      </c>
      <c r="G349" s="27">
        <f>-555-13.99</f>
        <v>-568.99</v>
      </c>
      <c r="H349" s="27"/>
      <c r="I349" s="19"/>
      <c r="J349" s="19"/>
      <c r="K349" s="27"/>
      <c r="L349" s="2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26">
        <v>45993.0</v>
      </c>
      <c r="B350" s="19"/>
      <c r="C350" s="27"/>
      <c r="D350" s="19"/>
      <c r="E350" s="27"/>
      <c r="F350" s="27"/>
      <c r="G350" s="27"/>
      <c r="H350" s="27">
        <f>-3.2-9-18.42-3.07</f>
        <v>-33.69</v>
      </c>
      <c r="I350" s="27"/>
      <c r="J350" s="19"/>
      <c r="K350" s="19"/>
      <c r="L350" s="2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26">
        <v>45994.0</v>
      </c>
      <c r="B351" s="19"/>
      <c r="C351" s="27"/>
      <c r="D351" s="19"/>
      <c r="E351" s="27"/>
      <c r="F351" s="27">
        <v>-588.28</v>
      </c>
      <c r="G351" s="27">
        <v>-55.0</v>
      </c>
      <c r="H351" s="27">
        <f>-68.98-11.69-52.2</f>
        <v>-132.87</v>
      </c>
      <c r="I351" s="27">
        <v>-5.8</v>
      </c>
      <c r="J351" s="19"/>
      <c r="K351" s="27"/>
      <c r="L351" s="27">
        <v>-34.6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26">
        <v>45995.0</v>
      </c>
      <c r="B352" s="19"/>
      <c r="C352" s="27"/>
      <c r="D352" s="19"/>
      <c r="E352" s="27"/>
      <c r="F352" s="27"/>
      <c r="G352" s="27"/>
      <c r="H352" s="19">
        <f>-79.29-11.22-6.1-13.99-32-14.3-35.7</f>
        <v>-192.6</v>
      </c>
      <c r="I352" s="27">
        <v>-69.02</v>
      </c>
      <c r="J352" s="19"/>
      <c r="K352" s="19"/>
      <c r="L352" s="1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26">
        <v>45996.0</v>
      </c>
      <c r="B353" s="19"/>
      <c r="C353" s="27"/>
      <c r="D353" s="19"/>
      <c r="E353" s="27"/>
      <c r="F353" s="27">
        <v>-242.0</v>
      </c>
      <c r="G353" s="27"/>
      <c r="H353" s="27">
        <f>-10-29.95-80.26</f>
        <v>-120.21</v>
      </c>
      <c r="I353" s="27">
        <v>-19.2</v>
      </c>
      <c r="J353" s="19"/>
      <c r="K353" s="19"/>
      <c r="L353" s="27">
        <v>-87.05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26">
        <v>45997.0</v>
      </c>
      <c r="B354" s="19"/>
      <c r="C354" s="27"/>
      <c r="D354" s="19"/>
      <c r="E354" s="19"/>
      <c r="F354" s="27"/>
      <c r="G354" s="27"/>
      <c r="H354" s="19"/>
      <c r="I354" s="27"/>
      <c r="J354" s="19"/>
      <c r="K354" s="19"/>
      <c r="L354" s="1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26">
        <v>45998.0</v>
      </c>
      <c r="B355" s="19"/>
      <c r="C355" s="27"/>
      <c r="D355" s="19"/>
      <c r="E355" s="27"/>
      <c r="F355" s="27"/>
      <c r="G355" s="27"/>
      <c r="H355" s="27">
        <v>-48.0</v>
      </c>
      <c r="I355" s="27"/>
      <c r="J355" s="19"/>
      <c r="K355" s="19"/>
      <c r="L355" s="2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26">
        <v>45999.0</v>
      </c>
      <c r="B356" s="19"/>
      <c r="C356" s="27"/>
      <c r="D356" s="19"/>
      <c r="E356" s="27"/>
      <c r="F356" s="19"/>
      <c r="G356" s="27">
        <f>-41.5-35.97+11.2</f>
        <v>-66.27</v>
      </c>
      <c r="H356" s="27">
        <f>-5.45-15.15</f>
        <v>-20.6</v>
      </c>
      <c r="I356" s="27"/>
      <c r="J356" s="19"/>
      <c r="K356" s="19"/>
      <c r="L356" s="2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26">
        <v>46000.0</v>
      </c>
      <c r="B357" s="19"/>
      <c r="C357" s="27"/>
      <c r="D357" s="19"/>
      <c r="E357" s="27"/>
      <c r="F357" s="27"/>
      <c r="G357" s="27"/>
      <c r="H357" s="27">
        <f>-115.45-17.49-15.31</f>
        <v>-148.25</v>
      </c>
      <c r="I357" s="27">
        <v>-54.0</v>
      </c>
      <c r="J357" s="19"/>
      <c r="K357" s="27"/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26">
        <v>46001.0</v>
      </c>
      <c r="B358" s="19"/>
      <c r="C358" s="27"/>
      <c r="D358" s="19"/>
      <c r="E358" s="27"/>
      <c r="F358" s="19"/>
      <c r="G358" s="27"/>
      <c r="I358" s="27">
        <v>-54.4</v>
      </c>
      <c r="J358" s="19"/>
      <c r="K358" s="19"/>
      <c r="L358" s="1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26">
        <v>46002.0</v>
      </c>
      <c r="B359" s="19"/>
      <c r="C359" s="27"/>
      <c r="D359" s="19"/>
      <c r="E359" s="27"/>
      <c r="F359" s="27"/>
      <c r="G359" s="27"/>
      <c r="H359" s="19"/>
      <c r="I359" s="27"/>
      <c r="J359" s="19"/>
      <c r="K359" s="19"/>
      <c r="L359" s="27">
        <v>-34.6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26">
        <v>46003.0</v>
      </c>
      <c r="B360" s="19"/>
      <c r="C360" s="27"/>
      <c r="D360" s="19"/>
      <c r="E360" s="19"/>
      <c r="F360" s="27"/>
      <c r="G360" s="19"/>
      <c r="H360" s="27"/>
      <c r="I360" s="27">
        <f>-40.46-5.08</f>
        <v>-45.54</v>
      </c>
      <c r="J360" s="19"/>
      <c r="K360" s="19"/>
      <c r="L360" s="27">
        <v>-87.05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26">
        <v>46004.0</v>
      </c>
      <c r="B361" s="19"/>
      <c r="C361" s="27"/>
      <c r="D361" s="19"/>
      <c r="E361" s="27"/>
      <c r="F361" s="27">
        <v>-4.5</v>
      </c>
      <c r="G361" s="27"/>
      <c r="H361" s="27">
        <f>-3-3.6-11.69-13.75</f>
        <v>-32.04</v>
      </c>
      <c r="I361" s="27">
        <v>-66.61</v>
      </c>
      <c r="J361" s="19"/>
      <c r="K361" s="19"/>
      <c r="L361" s="2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26">
        <v>46005.0</v>
      </c>
      <c r="B362" s="19"/>
      <c r="C362" s="27"/>
      <c r="D362" s="19"/>
      <c r="E362" s="19"/>
      <c r="F362" s="27"/>
      <c r="G362" s="19"/>
      <c r="H362" s="27"/>
      <c r="I362" s="27"/>
      <c r="J362" s="19"/>
      <c r="K362" s="19"/>
      <c r="L362" s="1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26">
        <v>46006.0</v>
      </c>
      <c r="B363" s="19"/>
      <c r="C363" s="27"/>
      <c r="D363" s="19"/>
      <c r="E363" s="19"/>
      <c r="F363" s="27"/>
      <c r="G363" s="27">
        <v>-34.0</v>
      </c>
      <c r="H363" s="27">
        <f>-42.63-36.07-21.27</f>
        <v>-99.97</v>
      </c>
      <c r="I363" s="19"/>
      <c r="J363" s="19"/>
      <c r="K363" s="19"/>
      <c r="L363" s="2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26">
        <v>46007.0</v>
      </c>
      <c r="B364" s="19"/>
      <c r="C364" s="27"/>
      <c r="D364" s="19"/>
      <c r="E364" s="19"/>
      <c r="F364" s="27">
        <v>-4.53</v>
      </c>
      <c r="G364" s="27">
        <v>-1.16</v>
      </c>
      <c r="H364" s="19"/>
      <c r="I364" s="19"/>
      <c r="J364" s="19"/>
      <c r="K364" s="19"/>
      <c r="L364" s="2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26">
        <v>46008.0</v>
      </c>
      <c r="B365" s="19"/>
      <c r="C365" s="27"/>
      <c r="D365" s="19"/>
      <c r="E365" s="19"/>
      <c r="F365" s="27">
        <v>-29.0</v>
      </c>
      <c r="G365" s="27"/>
      <c r="H365" s="27">
        <v>-2.6</v>
      </c>
      <c r="I365" s="19"/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26">
        <v>46009.0</v>
      </c>
      <c r="B366" s="19"/>
      <c r="C366" s="27"/>
      <c r="D366" s="19"/>
      <c r="E366" s="19"/>
      <c r="F366" s="27">
        <f>-16.25-226.5</f>
        <v>-242.75</v>
      </c>
      <c r="G366" s="27"/>
      <c r="H366" s="27">
        <v>-4.7</v>
      </c>
      <c r="I366" s="27">
        <f>-43.7-16.7</f>
        <v>-60.4</v>
      </c>
      <c r="J366" s="19"/>
      <c r="K366" s="19"/>
      <c r="L366" s="1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26">
        <v>46010.0</v>
      </c>
      <c r="B367" s="19"/>
      <c r="C367" s="27"/>
      <c r="D367" s="19"/>
      <c r="E367" s="27"/>
      <c r="F367" s="27">
        <v>-53.75</v>
      </c>
      <c r="G367" s="27">
        <v>-385.0</v>
      </c>
      <c r="H367" s="27">
        <v>-99.7</v>
      </c>
      <c r="I367" s="27">
        <v>-26.7</v>
      </c>
      <c r="J367" s="19"/>
      <c r="K367" s="19"/>
      <c r="L367" s="2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26">
        <v>46011.0</v>
      </c>
      <c r="B368" s="19"/>
      <c r="C368" s="27"/>
      <c r="D368" s="19"/>
      <c r="E368" s="27"/>
      <c r="F368" s="27">
        <f>-30-7.3</f>
        <v>-37.3</v>
      </c>
      <c r="G368" s="27">
        <v>-1.0</v>
      </c>
      <c r="H368" s="27">
        <v>-17.8</v>
      </c>
      <c r="I368" s="27"/>
      <c r="J368" s="19"/>
      <c r="K368" s="19"/>
      <c r="L368" s="2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26">
        <v>46012.0</v>
      </c>
      <c r="B369" s="19"/>
      <c r="C369" s="27"/>
      <c r="D369" s="19"/>
      <c r="E369" s="27"/>
      <c r="F369" s="27"/>
      <c r="G369" s="27"/>
      <c r="H369" s="27">
        <v>-7.8</v>
      </c>
      <c r="I369" s="19"/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26">
        <v>46013.0</v>
      </c>
      <c r="B370" s="19"/>
      <c r="C370" s="27"/>
      <c r="D370" s="19"/>
      <c r="E370" s="27"/>
      <c r="F370" s="27"/>
      <c r="G370" s="27"/>
      <c r="H370" s="27">
        <f>-6.05-16.3</f>
        <v>-22.35</v>
      </c>
      <c r="I370" s="27">
        <v>-18.27</v>
      </c>
      <c r="J370" s="19"/>
      <c r="K370" s="19"/>
      <c r="L370" s="2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26">
        <v>46014.0</v>
      </c>
      <c r="B371" s="19"/>
      <c r="C371" s="27"/>
      <c r="D371" s="19"/>
      <c r="E371" s="19"/>
      <c r="F371" s="19"/>
      <c r="G371" s="27">
        <v>-77.5</v>
      </c>
      <c r="H371" s="27"/>
      <c r="I371" s="19"/>
      <c r="J371" s="19"/>
      <c r="K371" s="19"/>
      <c r="L371" s="2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26">
        <v>46015.0</v>
      </c>
      <c r="B372" s="19"/>
      <c r="C372" s="27"/>
      <c r="D372" s="19"/>
      <c r="E372" s="27"/>
      <c r="F372" s="19"/>
      <c r="G372" s="19"/>
      <c r="H372" s="27">
        <v>-44.69</v>
      </c>
      <c r="I372" s="27">
        <v>-4.24</v>
      </c>
      <c r="J372" s="19"/>
      <c r="K372" s="19"/>
      <c r="L372" s="1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26">
        <v>46016.0</v>
      </c>
      <c r="B373" s="19"/>
      <c r="C373" s="27"/>
      <c r="D373" s="19"/>
      <c r="E373" s="27"/>
      <c r="F373" s="19"/>
      <c r="G373" s="27">
        <v>-8.23</v>
      </c>
      <c r="H373" s="27"/>
      <c r="I373" s="19"/>
      <c r="J373" s="19"/>
      <c r="K373" s="19"/>
      <c r="L373" s="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26">
        <v>46017.0</v>
      </c>
      <c r="B374" s="19"/>
      <c r="C374" s="27"/>
      <c r="D374" s="19"/>
      <c r="E374" s="19"/>
      <c r="F374" s="27"/>
      <c r="G374" s="19"/>
      <c r="H374" s="19"/>
      <c r="I374" s="19"/>
      <c r="J374" s="19"/>
      <c r="K374" s="19"/>
      <c r="L374" s="1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26">
        <v>46018.0</v>
      </c>
      <c r="B375" s="19"/>
      <c r="C375" s="27"/>
      <c r="D375" s="19"/>
      <c r="E375" s="27"/>
      <c r="F375" s="27"/>
      <c r="G375" s="27">
        <v>-164.99</v>
      </c>
      <c r="H375" s="27">
        <v>-4.5</v>
      </c>
      <c r="I375" s="27">
        <f>-10.87-10.81</f>
        <v>-21.68</v>
      </c>
      <c r="J375" s="19"/>
      <c r="K375" s="27"/>
      <c r="L375" s="2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26">
        <v>46019.0</v>
      </c>
      <c r="B376" s="19"/>
      <c r="C376" s="27"/>
      <c r="D376" s="19"/>
      <c r="E376" s="19"/>
      <c r="F376" s="27">
        <f>-291.54-9.7</f>
        <v>-301.24</v>
      </c>
      <c r="G376" s="27"/>
      <c r="H376" s="19"/>
      <c r="I376" s="19"/>
      <c r="J376" s="27"/>
      <c r="K376" s="27"/>
      <c r="L376" s="1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26">
        <v>46020.0</v>
      </c>
      <c r="B377" s="19"/>
      <c r="C377" s="27"/>
      <c r="D377" s="19"/>
      <c r="E377" s="19"/>
      <c r="F377" s="19"/>
      <c r="G377" s="27">
        <v>-64.99</v>
      </c>
      <c r="H377" s="19">
        <f>-38.1-2-176.74</f>
        <v>-216.84</v>
      </c>
      <c r="I377" s="27"/>
      <c r="K377" s="19"/>
      <c r="L377" s="27"/>
      <c r="M377" s="27">
        <v>6845.67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26">
        <v>46021.0</v>
      </c>
      <c r="B378" s="19"/>
      <c r="C378" s="27"/>
      <c r="D378" s="19"/>
      <c r="E378" s="19"/>
      <c r="F378" s="19"/>
      <c r="G378" s="19">
        <f>-105.08</f>
        <v>-105.08</v>
      </c>
      <c r="H378" s="19">
        <f>-25.99-1.6</f>
        <v>-27.59</v>
      </c>
      <c r="I378" s="27">
        <f>-9.39-16-2</f>
        <v>-27.39</v>
      </c>
      <c r="J378" s="19"/>
      <c r="K378" s="19"/>
      <c r="L378" s="1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26">
        <v>46022.0</v>
      </c>
      <c r="B379" s="19"/>
      <c r="C379" s="27"/>
      <c r="D379" s="19"/>
      <c r="E379" s="27">
        <v>-14.97</v>
      </c>
      <c r="F379" s="19"/>
      <c r="G379" s="19"/>
      <c r="H379" s="19"/>
      <c r="I379" s="27">
        <v>-78.0</v>
      </c>
      <c r="J379" s="27"/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26"/>
      <c r="B380" s="19"/>
      <c r="C380" s="19"/>
      <c r="D380" s="19"/>
      <c r="E380" s="19"/>
      <c r="F380" s="19"/>
      <c r="J380" s="19"/>
      <c r="K380" s="27"/>
      <c r="L380" s="1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</sheetData>
  <mergeCells count="2">
    <mergeCell ref="O52:O54"/>
    <mergeCell ref="O57:O5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5"/>
    </row>
    <row r="2">
      <c r="A2" s="36"/>
      <c r="B2" s="37">
        <f t="shared" ref="B2:E2" si="1">sum(B3:B1000)</f>
        <v>0</v>
      </c>
      <c r="C2" s="37">
        <f t="shared" si="1"/>
        <v>94572.94</v>
      </c>
      <c r="D2" s="37">
        <f t="shared" si="1"/>
        <v>11859.25</v>
      </c>
      <c r="E2" s="37">
        <f t="shared" si="1"/>
        <v>9507.84</v>
      </c>
      <c r="F2" s="24"/>
    </row>
    <row r="3">
      <c r="A3" s="29" t="s">
        <v>17</v>
      </c>
      <c r="B3" s="27"/>
      <c r="C3" s="27">
        <f>3515.61*2</f>
        <v>7031.22</v>
      </c>
      <c r="D3" s="27">
        <f>28.7*2+2122.98</f>
        <v>2180.38</v>
      </c>
      <c r="E3" s="27"/>
      <c r="F3" s="19">
        <f t="shared" ref="F3:F14" si="2">sum(B3:E3)</f>
        <v>9211.6</v>
      </c>
    </row>
    <row r="4">
      <c r="A4" s="29" t="s">
        <v>18</v>
      </c>
      <c r="B4" s="27"/>
      <c r="C4" s="27">
        <f>3515.61+3647.34</f>
        <v>7162.95</v>
      </c>
      <c r="D4" s="27">
        <f>sum(28.7*2,301.56,487.72)</f>
        <v>846.68</v>
      </c>
      <c r="E4" s="27"/>
      <c r="F4" s="19">
        <f t="shared" si="2"/>
        <v>8009.63</v>
      </c>
    </row>
    <row r="5">
      <c r="A5" s="29" t="s">
        <v>19</v>
      </c>
      <c r="B5" s="27"/>
      <c r="C5" s="27">
        <f>3515.61*2</f>
        <v>7031.22</v>
      </c>
      <c r="D5" s="19">
        <f>384.17+28.7+101.95+28.7+203.91</f>
        <v>747.43</v>
      </c>
      <c r="E5" s="27">
        <v>768.34</v>
      </c>
      <c r="F5" s="19">
        <f t="shared" si="2"/>
        <v>8546.99</v>
      </c>
    </row>
    <row r="6">
      <c r="A6" s="29" t="s">
        <v>20</v>
      </c>
      <c r="B6" s="27"/>
      <c r="C6" s="27">
        <f>3515.61*3</f>
        <v>10546.83</v>
      </c>
      <c r="D6" s="27">
        <f>28.7*2+152.63</f>
        <v>210.03</v>
      </c>
      <c r="E6" s="27">
        <f>sum(454.85,113.71,123.47)</f>
        <v>692.03</v>
      </c>
      <c r="F6" s="19">
        <f t="shared" si="2"/>
        <v>11448.89</v>
      </c>
    </row>
    <row r="7">
      <c r="A7" s="29" t="s">
        <v>21</v>
      </c>
      <c r="B7" s="27"/>
      <c r="C7" s="27">
        <f>3515.61*2</f>
        <v>7031.22</v>
      </c>
      <c r="D7">
        <f>28.7*3+101.95*2+210.03</f>
        <v>500.03</v>
      </c>
      <c r="E7" s="27">
        <f>384.17+791.4</f>
        <v>1175.57</v>
      </c>
      <c r="F7" s="19">
        <f t="shared" si="2"/>
        <v>8706.82</v>
      </c>
    </row>
    <row r="8">
      <c r="A8" s="29" t="s">
        <v>22</v>
      </c>
      <c r="B8" s="27"/>
      <c r="C8" s="27">
        <f>3641.58*2</f>
        <v>7283.16</v>
      </c>
      <c r="D8" s="27">
        <f>28.7*2+157.22</f>
        <v>214.62</v>
      </c>
      <c r="E8" s="27">
        <v>607.37</v>
      </c>
      <c r="F8" s="19">
        <f t="shared" si="2"/>
        <v>8105.15</v>
      </c>
    </row>
    <row r="9">
      <c r="A9" s="29" t="s">
        <v>23</v>
      </c>
      <c r="B9" s="27"/>
      <c r="C9" s="27">
        <f>3641.5*2</f>
        <v>7283</v>
      </c>
      <c r="D9" s="27">
        <f>157.22+12.3</f>
        <v>169.52</v>
      </c>
      <c r="E9" s="27">
        <v>607.37</v>
      </c>
      <c r="F9" s="19">
        <f t="shared" si="2"/>
        <v>8059.89</v>
      </c>
    </row>
    <row r="10">
      <c r="A10" s="29" t="s">
        <v>24</v>
      </c>
      <c r="B10" s="27"/>
      <c r="C10" s="19">
        <f t="shared" ref="C10:C11" si="3">3641.58*2</f>
        <v>7283.16</v>
      </c>
      <c r="D10" s="27">
        <f>43.88+4+2826.84+164.24+69.58</f>
        <v>3108.54</v>
      </c>
      <c r="E10" s="27">
        <v>635.45</v>
      </c>
      <c r="F10" s="19">
        <f t="shared" si="2"/>
        <v>11027.15</v>
      </c>
    </row>
    <row r="11">
      <c r="A11" s="29" t="s">
        <v>25</v>
      </c>
      <c r="B11" s="27"/>
      <c r="C11" s="27">
        <f t="shared" si="3"/>
        <v>7283.16</v>
      </c>
      <c r="D11" s="27">
        <f>342.67+171.34</f>
        <v>514.01</v>
      </c>
      <c r="E11" s="27">
        <f>1342.35+661.64</f>
        <v>2003.99</v>
      </c>
      <c r="F11" s="19">
        <f t="shared" si="2"/>
        <v>9801.16</v>
      </c>
    </row>
    <row r="12">
      <c r="A12" s="29" t="s">
        <v>26</v>
      </c>
      <c r="B12" s="27"/>
      <c r="C12" s="19">
        <f>3641.6*3</f>
        <v>10924.8</v>
      </c>
      <c r="D12" s="27">
        <f>181.41+170.76+171.34</f>
        <v>523.51</v>
      </c>
      <c r="E12" s="27">
        <f>701.95+661.64+661.64</f>
        <v>2025.23</v>
      </c>
      <c r="F12" s="19">
        <f t="shared" si="2"/>
        <v>13473.54</v>
      </c>
    </row>
    <row r="13">
      <c r="A13" s="29" t="s">
        <v>27</v>
      </c>
      <c r="B13" s="27"/>
      <c r="C13" s="19">
        <f>3641.58*2</f>
        <v>7283.16</v>
      </c>
      <c r="D13" s="27">
        <f>355.36+1322.59</f>
        <v>1677.95</v>
      </c>
      <c r="E13" s="27">
        <v>992.49</v>
      </c>
      <c r="F13" s="19">
        <f t="shared" si="2"/>
        <v>9953.6</v>
      </c>
    </row>
    <row r="14">
      <c r="A14" s="29" t="s">
        <v>28</v>
      </c>
      <c r="B14" s="27"/>
      <c r="C14" s="27">
        <f>4697.65+3731.41</f>
        <v>8429.06</v>
      </c>
      <c r="D14" s="27">
        <v>1166.55</v>
      </c>
      <c r="E14" s="27"/>
      <c r="F14" s="19">
        <f t="shared" si="2"/>
        <v>9595.61</v>
      </c>
    </row>
    <row r="15">
      <c r="F15" s="19"/>
    </row>
    <row r="16">
      <c r="F16" s="19"/>
    </row>
    <row r="17">
      <c r="F17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1" max="11" width="9.13"/>
    <col customWidth="1" min="12" max="12" width="9.88"/>
    <col customWidth="1" min="14" max="14" width="14.13"/>
  </cols>
  <sheetData>
    <row r="1" ht="18.0" customHeight="1">
      <c r="A1" s="40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/>
      <c r="N1" s="7"/>
      <c r="O1" s="8"/>
      <c r="P1" s="8"/>
      <c r="Q1" s="8"/>
      <c r="R1" s="7"/>
      <c r="S1" s="7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41"/>
      <c r="B2" s="10">
        <f t="shared" ref="B2:B14" si="3">SUM(E2:L2)</f>
        <v>-98959.88</v>
      </c>
      <c r="C2" s="11">
        <f>SUM(C3:C14)</f>
        <v>118991.4</v>
      </c>
      <c r="D2" s="12">
        <f t="shared" ref="D2:D14" si="4">SUM(B2,C2)</f>
        <v>20031.52</v>
      </c>
      <c r="E2" s="13">
        <f t="shared" ref="E2:H2" si="1">SUM(E15:E1014)</f>
        <v>-4046.87</v>
      </c>
      <c r="F2" s="13">
        <f t="shared" si="1"/>
        <v>-17444.05</v>
      </c>
      <c r="G2" s="13">
        <f t="shared" si="1"/>
        <v>-13255.01</v>
      </c>
      <c r="H2" s="13">
        <f t="shared" si="1"/>
        <v>-14725.16</v>
      </c>
      <c r="I2" s="13">
        <f>SUM(I16:I1014)</f>
        <v>-5639.63</v>
      </c>
      <c r="J2" s="13">
        <f t="shared" ref="J2:L2" si="2">SUM(J15:J1014)</f>
        <v>-7847.74</v>
      </c>
      <c r="K2" s="13">
        <f t="shared" si="2"/>
        <v>-32463</v>
      </c>
      <c r="L2" s="14">
        <f t="shared" si="2"/>
        <v>-3538.42</v>
      </c>
      <c r="M2" s="15"/>
      <c r="N2" s="15"/>
      <c r="O2" s="8"/>
      <c r="P2" s="8"/>
      <c r="Q2" s="8"/>
      <c r="R2" s="16"/>
      <c r="S2" s="16"/>
      <c r="T2" s="1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17">
        <v>45292.0</v>
      </c>
      <c r="B3" s="10">
        <f t="shared" si="3"/>
        <v>-11119.65</v>
      </c>
      <c r="C3" s="18">
        <f>'2024_income'!F3</f>
        <v>10575.24</v>
      </c>
      <c r="D3" s="12">
        <f t="shared" si="4"/>
        <v>-544.41</v>
      </c>
      <c r="E3" s="19">
        <f t="shared" ref="E3:H3" si="5">sum(E15:E45)</f>
        <v>-257.95</v>
      </c>
      <c r="F3" s="19">
        <f t="shared" si="5"/>
        <v>-3513.29</v>
      </c>
      <c r="G3" s="19">
        <f t="shared" si="5"/>
        <v>-724.69</v>
      </c>
      <c r="H3" s="19">
        <f t="shared" si="5"/>
        <v>-1693.19</v>
      </c>
      <c r="I3" s="19">
        <f>sum(I16:I45)</f>
        <v>-505.66</v>
      </c>
      <c r="J3" s="19">
        <f t="shared" ref="J3:L3" si="6">sum(J15:J45)</f>
        <v>-1300</v>
      </c>
      <c r="K3" s="19">
        <f t="shared" si="6"/>
        <v>-2629</v>
      </c>
      <c r="L3" s="20">
        <f t="shared" si="6"/>
        <v>-495.87</v>
      </c>
      <c r="M3" s="28"/>
      <c r="N3" s="2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7">
        <v>45323.0</v>
      </c>
      <c r="B4" s="10">
        <f t="shared" si="3"/>
        <v>-7312.46</v>
      </c>
      <c r="C4" s="18">
        <f>'2024_income'!F4</f>
        <v>7525.17</v>
      </c>
      <c r="D4" s="12">
        <f t="shared" si="4"/>
        <v>212.71</v>
      </c>
      <c r="E4" s="19">
        <f t="shared" ref="E4:L4" si="7">SUM(E46:E73)</f>
        <v>-100</v>
      </c>
      <c r="F4" s="19">
        <f t="shared" si="7"/>
        <v>-322.16</v>
      </c>
      <c r="G4" s="19">
        <f t="shared" si="7"/>
        <v>-953.36</v>
      </c>
      <c r="H4" s="19">
        <f t="shared" si="7"/>
        <v>-1430.25</v>
      </c>
      <c r="I4" s="19">
        <f t="shared" si="7"/>
        <v>-272.75</v>
      </c>
      <c r="J4" s="19">
        <f t="shared" si="7"/>
        <v>-1451.74</v>
      </c>
      <c r="K4" s="19">
        <f t="shared" si="7"/>
        <v>-2529</v>
      </c>
      <c r="L4" s="20">
        <f t="shared" si="7"/>
        <v>-253.2</v>
      </c>
      <c r="M4" s="28"/>
      <c r="N4" s="2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7">
        <v>45352.0</v>
      </c>
      <c r="B5" s="10">
        <f t="shared" si="3"/>
        <v>-9126.06</v>
      </c>
      <c r="C5" s="18">
        <f>'2024_income'!F5</f>
        <v>8490.39</v>
      </c>
      <c r="D5" s="12">
        <f t="shared" si="4"/>
        <v>-635.67</v>
      </c>
      <c r="E5" s="19">
        <f t="shared" ref="E5:L5" si="8">sum(E74:E104)</f>
        <v>-2423.12</v>
      </c>
      <c r="F5" s="19">
        <f t="shared" si="8"/>
        <v>-1021.26</v>
      </c>
      <c r="G5" s="19">
        <f t="shared" si="8"/>
        <v>-878.26</v>
      </c>
      <c r="H5" s="19">
        <f t="shared" si="8"/>
        <v>-910.89</v>
      </c>
      <c r="I5" s="19">
        <f t="shared" si="8"/>
        <v>-717.93</v>
      </c>
      <c r="J5" s="19">
        <f t="shared" si="8"/>
        <v>-196</v>
      </c>
      <c r="K5" s="19">
        <f t="shared" si="8"/>
        <v>-2641</v>
      </c>
      <c r="L5" s="20">
        <f t="shared" si="8"/>
        <v>-337.6</v>
      </c>
      <c r="M5" s="28"/>
      <c r="N5" s="2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17">
        <v>45383.0</v>
      </c>
      <c r="B6" s="10">
        <f t="shared" si="3"/>
        <v>-6446.79</v>
      </c>
      <c r="C6" s="18">
        <f>'2024_income'!F6</f>
        <v>8352.56</v>
      </c>
      <c r="D6" s="12">
        <f t="shared" si="4"/>
        <v>1905.77</v>
      </c>
      <c r="E6" s="19">
        <f t="shared" ref="E6:L6" si="9">sum(E105:E134)</f>
        <v>-65.13</v>
      </c>
      <c r="F6" s="19">
        <f t="shared" si="9"/>
        <v>-823.7</v>
      </c>
      <c r="G6" s="19">
        <f t="shared" si="9"/>
        <v>-1059.95</v>
      </c>
      <c r="H6" s="19">
        <f t="shared" si="9"/>
        <v>-1094.51</v>
      </c>
      <c r="I6" s="19">
        <f t="shared" si="9"/>
        <v>-424.9</v>
      </c>
      <c r="J6" s="19">
        <f t="shared" si="9"/>
        <v>0</v>
      </c>
      <c r="K6" s="19">
        <f t="shared" si="9"/>
        <v>-2641</v>
      </c>
      <c r="L6" s="20">
        <f t="shared" si="9"/>
        <v>-337.6</v>
      </c>
      <c r="M6" s="28"/>
      <c r="N6" s="2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7">
        <v>45413.0</v>
      </c>
      <c r="B7" s="10">
        <f t="shared" si="3"/>
        <v>-7983.29</v>
      </c>
      <c r="C7" s="18">
        <f>'2024_income'!F7</f>
        <v>12660.31</v>
      </c>
      <c r="D7" s="12">
        <f t="shared" si="4"/>
        <v>4677.02</v>
      </c>
      <c r="E7" s="19">
        <f t="shared" ref="E7:L7" si="10">sum(E135:E165)</f>
        <v>-31.78</v>
      </c>
      <c r="F7" s="19">
        <f t="shared" si="10"/>
        <v>-2097.2</v>
      </c>
      <c r="G7" s="19">
        <f t="shared" si="10"/>
        <v>-879.95</v>
      </c>
      <c r="H7" s="19">
        <f t="shared" si="10"/>
        <v>-1215.77</v>
      </c>
      <c r="I7" s="19">
        <f t="shared" si="10"/>
        <v>-491.3</v>
      </c>
      <c r="J7" s="19">
        <f t="shared" si="10"/>
        <v>0</v>
      </c>
      <c r="K7" s="19">
        <f t="shared" si="10"/>
        <v>-2641</v>
      </c>
      <c r="L7" s="20">
        <f t="shared" si="10"/>
        <v>-626.29</v>
      </c>
      <c r="M7" s="28"/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7">
        <v>45444.0</v>
      </c>
      <c r="B8" s="10">
        <f t="shared" si="3"/>
        <v>-5040.56</v>
      </c>
      <c r="C8" s="18">
        <f>'2024_income'!F8</f>
        <v>8567.76</v>
      </c>
      <c r="D8" s="12">
        <f t="shared" si="4"/>
        <v>3527.2</v>
      </c>
      <c r="E8" s="19">
        <f t="shared" ref="E8:L8" si="11">sum(E166:E195)</f>
        <v>-22.69</v>
      </c>
      <c r="F8" s="19">
        <f t="shared" si="11"/>
        <v>-634.96</v>
      </c>
      <c r="G8" s="19">
        <f t="shared" si="11"/>
        <v>-507.21</v>
      </c>
      <c r="H8" s="19">
        <f t="shared" si="11"/>
        <v>-815.94</v>
      </c>
      <c r="I8" s="19">
        <f t="shared" si="11"/>
        <v>-551.96</v>
      </c>
      <c r="J8" s="19">
        <f t="shared" si="11"/>
        <v>0</v>
      </c>
      <c r="K8" s="19">
        <f t="shared" si="11"/>
        <v>-2641</v>
      </c>
      <c r="L8" s="20">
        <f t="shared" si="11"/>
        <v>133.2</v>
      </c>
      <c r="M8" s="28"/>
      <c r="N8" s="2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17">
        <v>45474.0</v>
      </c>
      <c r="B9" s="10">
        <f t="shared" si="3"/>
        <v>-10938</v>
      </c>
      <c r="C9" s="18">
        <f>'2024_income'!F9</f>
        <v>9068.08</v>
      </c>
      <c r="D9" s="12">
        <f t="shared" si="4"/>
        <v>-1869.92</v>
      </c>
      <c r="E9" s="19">
        <f t="shared" ref="E9:L9" si="12">sum(E196:E226)</f>
        <v>-27.3</v>
      </c>
      <c r="F9" s="19">
        <f t="shared" si="12"/>
        <v>-2619.91</v>
      </c>
      <c r="G9" s="19">
        <f t="shared" si="12"/>
        <v>-3237.06</v>
      </c>
      <c r="H9" s="19">
        <f t="shared" si="12"/>
        <v>-1474.93</v>
      </c>
      <c r="I9" s="19">
        <f t="shared" si="12"/>
        <v>-261.57</v>
      </c>
      <c r="J9" s="19">
        <f t="shared" si="12"/>
        <v>0</v>
      </c>
      <c r="K9" s="19">
        <f t="shared" si="12"/>
        <v>-3036</v>
      </c>
      <c r="L9" s="20">
        <f t="shared" si="12"/>
        <v>-281.23</v>
      </c>
      <c r="M9" s="28"/>
      <c r="N9" s="2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17">
        <v>45505.0</v>
      </c>
      <c r="B10" s="10">
        <f t="shared" si="3"/>
        <v>-5781.3</v>
      </c>
      <c r="C10" s="18">
        <f>'2024_income'!F10</f>
        <v>9605.22</v>
      </c>
      <c r="D10" s="12">
        <f t="shared" si="4"/>
        <v>3823.92</v>
      </c>
      <c r="E10" s="19">
        <f t="shared" ref="E10:L10" si="13">sum(E227:E257)</f>
        <v>-22</v>
      </c>
      <c r="F10" s="19">
        <f t="shared" si="13"/>
        <v>-529.98</v>
      </c>
      <c r="G10" s="19">
        <f t="shared" si="13"/>
        <v>-635.39</v>
      </c>
      <c r="H10" s="19">
        <f t="shared" si="13"/>
        <v>-1098.01</v>
      </c>
      <c r="I10" s="19">
        <f t="shared" si="13"/>
        <v>-563.32</v>
      </c>
      <c r="J10" s="19">
        <f t="shared" si="13"/>
        <v>0</v>
      </c>
      <c r="K10" s="19">
        <f t="shared" si="13"/>
        <v>-2641</v>
      </c>
      <c r="L10" s="20">
        <f t="shared" si="13"/>
        <v>-291.6</v>
      </c>
      <c r="M10" s="28"/>
      <c r="N10" s="2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7">
        <v>45536.0</v>
      </c>
      <c r="B11" s="10">
        <f t="shared" si="3"/>
        <v>-6120.54</v>
      </c>
      <c r="C11" s="18">
        <f>'2024_income'!F11</f>
        <v>9605.22</v>
      </c>
      <c r="D11" s="12">
        <f t="shared" si="4"/>
        <v>3484.68</v>
      </c>
      <c r="E11" s="19">
        <f t="shared" ref="E11:L11" si="14">SUM(E258:E287)</f>
        <v>-20</v>
      </c>
      <c r="F11" s="19">
        <f t="shared" si="14"/>
        <v>-482.07</v>
      </c>
      <c r="G11" s="19">
        <f t="shared" si="14"/>
        <v>-1204.66</v>
      </c>
      <c r="H11" s="19">
        <f t="shared" si="14"/>
        <v>-1141.4</v>
      </c>
      <c r="I11" s="19">
        <f t="shared" si="14"/>
        <v>-498.13</v>
      </c>
      <c r="J11" s="19">
        <f t="shared" si="14"/>
        <v>100</v>
      </c>
      <c r="K11" s="19">
        <f t="shared" si="14"/>
        <v>-2641</v>
      </c>
      <c r="L11" s="20">
        <f t="shared" si="14"/>
        <v>-233.28</v>
      </c>
      <c r="M11" s="28"/>
      <c r="N11" s="2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17">
        <v>45566.0</v>
      </c>
      <c r="B12" s="10">
        <f t="shared" si="3"/>
        <v>-6570.89</v>
      </c>
      <c r="C12" s="18">
        <f>'2024_income'!F12</f>
        <v>14627.4</v>
      </c>
      <c r="D12" s="12">
        <f t="shared" si="4"/>
        <v>8056.51</v>
      </c>
      <c r="E12" s="19">
        <f t="shared" ref="E12:L12" si="15">SUM(E288:E318)</f>
        <v>0</v>
      </c>
      <c r="F12" s="19">
        <f t="shared" si="15"/>
        <v>-1809.57</v>
      </c>
      <c r="G12" s="19">
        <f t="shared" si="15"/>
        <v>-869.32</v>
      </c>
      <c r="H12" s="19">
        <f t="shared" si="15"/>
        <v>-961.93</v>
      </c>
      <c r="I12" s="19">
        <f t="shared" si="15"/>
        <v>-84.95</v>
      </c>
      <c r="J12" s="19">
        <f t="shared" si="15"/>
        <v>0</v>
      </c>
      <c r="K12" s="19">
        <f t="shared" si="15"/>
        <v>-2641</v>
      </c>
      <c r="L12" s="20">
        <f t="shared" si="15"/>
        <v>-204.12</v>
      </c>
      <c r="M12" s="28"/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17">
        <v>45597.0</v>
      </c>
      <c r="B13" s="10">
        <f t="shared" si="3"/>
        <v>-8771.89</v>
      </c>
      <c r="C13" s="18">
        <f>'2024_income'!F13</f>
        <v>9694.22</v>
      </c>
      <c r="D13" s="12">
        <f t="shared" si="4"/>
        <v>922.33</v>
      </c>
      <c r="E13" s="19">
        <f t="shared" ref="E13:L13" si="16">SUM(E319:E348)</f>
        <v>-976.9</v>
      </c>
      <c r="F13" s="19">
        <f t="shared" si="16"/>
        <v>-2463.72</v>
      </c>
      <c r="G13" s="19">
        <f t="shared" si="16"/>
        <v>-666.35</v>
      </c>
      <c r="H13" s="19">
        <f t="shared" si="16"/>
        <v>-1549.13</v>
      </c>
      <c r="I13" s="19">
        <f t="shared" si="16"/>
        <v>-630.21</v>
      </c>
      <c r="J13" s="19">
        <f t="shared" si="16"/>
        <v>0</v>
      </c>
      <c r="K13" s="19">
        <f t="shared" si="16"/>
        <v>-2141</v>
      </c>
      <c r="L13" s="20">
        <f t="shared" si="16"/>
        <v>-344.58</v>
      </c>
      <c r="M13" s="28"/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7">
        <v>45627.0</v>
      </c>
      <c r="B14" s="10">
        <f t="shared" si="3"/>
        <v>-13748.45</v>
      </c>
      <c r="C14" s="18">
        <f>'2024_income'!F14</f>
        <v>10219.83</v>
      </c>
      <c r="D14" s="23">
        <f t="shared" si="4"/>
        <v>-3528.62</v>
      </c>
      <c r="E14" s="24">
        <f t="shared" ref="E14:L14" si="17">SUM(E349:E379)</f>
        <v>-100</v>
      </c>
      <c r="F14" s="24">
        <f t="shared" si="17"/>
        <v>-1126.23</v>
      </c>
      <c r="G14" s="24">
        <f t="shared" si="17"/>
        <v>-1638.81</v>
      </c>
      <c r="H14" s="24">
        <f t="shared" si="17"/>
        <v>-1339.21</v>
      </c>
      <c r="I14" s="24">
        <f t="shared" si="17"/>
        <v>-636.95</v>
      </c>
      <c r="J14" s="24">
        <f t="shared" si="17"/>
        <v>-5000</v>
      </c>
      <c r="K14" s="24">
        <f t="shared" si="17"/>
        <v>-3641</v>
      </c>
      <c r="L14" s="25">
        <f t="shared" si="17"/>
        <v>-266.25</v>
      </c>
      <c r="M14" s="28"/>
      <c r="N14" s="2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6">
        <v>45292.0</v>
      </c>
      <c r="B15" s="19"/>
      <c r="C15" s="27"/>
      <c r="D15" s="19"/>
      <c r="E15" s="27"/>
      <c r="F15" s="27"/>
      <c r="G15" s="27">
        <v>-9.99</v>
      </c>
      <c r="H15" s="19"/>
      <c r="J15" s="19"/>
      <c r="K15" s="19"/>
      <c r="L15" s="19"/>
      <c r="M15" s="28"/>
      <c r="N15" s="2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6">
        <v>45293.0</v>
      </c>
      <c r="B16" s="19"/>
      <c r="C16" s="27"/>
      <c r="D16" s="19"/>
      <c r="E16" s="19"/>
      <c r="F16" s="27"/>
      <c r="G16" s="19"/>
      <c r="H16" s="19"/>
      <c r="I16" s="19"/>
      <c r="J16" s="19"/>
      <c r="K16" s="19"/>
      <c r="L16" s="19"/>
      <c r="M16" s="28"/>
      <c r="N16" s="2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26">
        <v>45294.0</v>
      </c>
      <c r="B17" s="27"/>
      <c r="C17" s="27"/>
      <c r="D17" s="19"/>
      <c r="E17" s="27"/>
      <c r="F17" s="27">
        <v>-272.0</v>
      </c>
      <c r="G17" s="27"/>
      <c r="H17" s="19">
        <f>-sum(65.75,25)</f>
        <v>-90.75</v>
      </c>
      <c r="I17" s="27">
        <f>-sum(5,71.05)</f>
        <v>-76.05</v>
      </c>
      <c r="J17" s="27">
        <v>-1300.0</v>
      </c>
      <c r="K17" s="27"/>
      <c r="L17" s="19"/>
      <c r="M17" s="28"/>
      <c r="N17" s="21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26">
        <v>45295.0</v>
      </c>
      <c r="B18" s="27"/>
      <c r="C18" s="27"/>
      <c r="D18" s="19"/>
      <c r="E18" s="27"/>
      <c r="F18" s="27">
        <f>-sum(5.5,105)</f>
        <v>-110.5</v>
      </c>
      <c r="G18" s="27">
        <v>-48.3</v>
      </c>
      <c r="H18" s="27">
        <f>-sum(13.36,20.3)</f>
        <v>-33.66</v>
      </c>
      <c r="I18" s="27">
        <v>-9.5</v>
      </c>
      <c r="J18" s="19"/>
      <c r="K18" s="19"/>
      <c r="L18" s="19"/>
      <c r="M18" s="28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26">
        <v>45296.0</v>
      </c>
      <c r="B19" s="27"/>
      <c r="C19" s="27"/>
      <c r="D19" s="19"/>
      <c r="E19" s="27">
        <v>-50.0</v>
      </c>
      <c r="F19" s="27"/>
      <c r="G19" s="27">
        <f>-Sum(29.17,20.3)</f>
        <v>-49.47</v>
      </c>
      <c r="H19" s="27">
        <f>-sum(6,8.97)</f>
        <v>-14.97</v>
      </c>
      <c r="I19" s="19"/>
      <c r="J19" s="19"/>
      <c r="K19" s="19"/>
      <c r="L19" s="27">
        <v>-116.07</v>
      </c>
      <c r="M19" s="28"/>
      <c r="N19" s="21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26">
        <v>45297.0</v>
      </c>
      <c r="B20" s="27"/>
      <c r="C20" s="27"/>
      <c r="D20" s="19"/>
      <c r="E20" s="27"/>
      <c r="F20" s="19"/>
      <c r="G20" s="27"/>
      <c r="H20" s="27">
        <v>-235.98</v>
      </c>
      <c r="I20" s="27"/>
      <c r="J20" s="19"/>
      <c r="K20" s="19"/>
      <c r="L20" s="27"/>
      <c r="M20" s="28"/>
      <c r="N20" s="21"/>
      <c r="O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26">
        <v>45298.0</v>
      </c>
      <c r="B21" s="27"/>
      <c r="C21" s="27"/>
      <c r="D21" s="19"/>
      <c r="E21" s="27"/>
      <c r="F21" s="27">
        <f>-Sum(13.95,12.97,0.5,24.98,19)</f>
        <v>-71.4</v>
      </c>
      <c r="G21" s="19"/>
      <c r="H21" s="27">
        <f>-sum(18.65,3.14,9.9)</f>
        <v>-31.69</v>
      </c>
      <c r="I21" s="27">
        <v>-39.69</v>
      </c>
      <c r="J21" s="19"/>
      <c r="K21" s="19"/>
      <c r="L21" s="27"/>
      <c r="M21" s="28"/>
      <c r="N21" s="21"/>
      <c r="O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26">
        <v>45299.0</v>
      </c>
      <c r="B22" s="27"/>
      <c r="C22" s="27"/>
      <c r="D22" s="19"/>
      <c r="E22" s="27">
        <v>-33.84</v>
      </c>
      <c r="F22" s="27">
        <f>-Sum(14.8,5,3)</f>
        <v>-22.8</v>
      </c>
      <c r="G22" s="27"/>
      <c r="H22" s="27">
        <v>-11.22</v>
      </c>
      <c r="I22" s="19"/>
      <c r="J22" s="19"/>
      <c r="K22" s="27">
        <f>-sum(1385,744)</f>
        <v>-2129</v>
      </c>
      <c r="L22" s="27"/>
      <c r="M22" s="28"/>
      <c r="N22" s="21"/>
      <c r="O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26">
        <v>45300.0</v>
      </c>
      <c r="B23" s="27"/>
      <c r="C23" s="27"/>
      <c r="D23" s="19"/>
      <c r="E23" s="27">
        <v>-13.5</v>
      </c>
      <c r="F23" s="27">
        <v>-111.3</v>
      </c>
      <c r="G23" s="27"/>
      <c r="H23" s="27">
        <v>-1.25</v>
      </c>
      <c r="I23" s="19"/>
      <c r="J23" s="19"/>
      <c r="K23" s="19"/>
      <c r="L23" s="19"/>
      <c r="M23" s="28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26">
        <v>45301.0</v>
      </c>
      <c r="B24" s="27"/>
      <c r="C24" s="27"/>
      <c r="D24" s="19"/>
      <c r="E24" s="27"/>
      <c r="F24" s="27">
        <v>-4.0</v>
      </c>
      <c r="G24" s="27"/>
      <c r="H24" s="27">
        <f>-sum(18.75,20.4)</f>
        <v>-39.15</v>
      </c>
      <c r="I24" s="27">
        <v>-9.8</v>
      </c>
      <c r="J24" s="19"/>
      <c r="K24" s="19"/>
      <c r="L24" s="19"/>
      <c r="M24" s="28"/>
      <c r="N24" s="21"/>
      <c r="O24" s="2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26">
        <v>45302.0</v>
      </c>
      <c r="B25" s="27"/>
      <c r="C25" s="27"/>
      <c r="D25" s="19"/>
      <c r="E25" s="27"/>
      <c r="F25" s="27">
        <v>-15.25</v>
      </c>
      <c r="G25" s="19"/>
      <c r="H25" s="19">
        <f>-sum(48.94,85)</f>
        <v>-133.94</v>
      </c>
      <c r="I25" s="27"/>
      <c r="J25" s="19"/>
      <c r="K25" s="27">
        <v>-500.0</v>
      </c>
      <c r="L25" s="27"/>
      <c r="M25" s="28"/>
      <c r="N25" s="21"/>
      <c r="O25" s="2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9.5" customHeight="1">
      <c r="A26" s="26">
        <v>45303.0</v>
      </c>
      <c r="B26" s="27"/>
      <c r="C26" s="27"/>
      <c r="D26" s="19"/>
      <c r="E26" s="27"/>
      <c r="F26" s="27"/>
      <c r="G26" s="27"/>
      <c r="H26" s="19">
        <f>-sum(26.9,13.62)</f>
        <v>-40.52</v>
      </c>
      <c r="I26" s="27">
        <v>-36.54</v>
      </c>
      <c r="J26" s="19"/>
      <c r="K26" s="19"/>
      <c r="L26" s="27">
        <v>-126.6</v>
      </c>
      <c r="M26" s="28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9.5" customHeight="1">
      <c r="A27" s="26">
        <v>45304.0</v>
      </c>
      <c r="B27" s="27"/>
      <c r="C27" s="27"/>
      <c r="D27" s="19"/>
      <c r="E27" s="27">
        <v>-51.27</v>
      </c>
      <c r="F27" s="27">
        <v>4.0</v>
      </c>
      <c r="G27" s="27">
        <v>-4.49</v>
      </c>
      <c r="H27" s="27">
        <v>-20.15</v>
      </c>
      <c r="I27" s="27">
        <v>-79.86</v>
      </c>
      <c r="J27" s="19"/>
      <c r="K27" s="19"/>
      <c r="L27" s="27"/>
      <c r="M27" s="30"/>
      <c r="N27" s="30"/>
      <c r="O27" s="2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9.5" customHeight="1">
      <c r="A28" s="26">
        <v>45305.0</v>
      </c>
      <c r="B28" s="27"/>
      <c r="C28" s="27"/>
      <c r="D28" s="19"/>
      <c r="E28" s="19"/>
      <c r="F28" s="27">
        <f>-69.96*2</f>
        <v>-139.92</v>
      </c>
      <c r="G28" s="27"/>
      <c r="H28" s="27">
        <f>-sum(28,-10,12,11)</f>
        <v>-41</v>
      </c>
      <c r="I28" s="27">
        <v>-61.71</v>
      </c>
      <c r="J28" s="19"/>
      <c r="K28" s="19"/>
      <c r="L28" s="27"/>
      <c r="M28" s="31"/>
      <c r="N28" s="30"/>
      <c r="O28" s="2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9.5" customHeight="1">
      <c r="A29" s="26">
        <v>45306.0</v>
      </c>
      <c r="B29" s="27"/>
      <c r="C29" s="27"/>
      <c r="D29" s="19"/>
      <c r="E29" s="19"/>
      <c r="F29" s="27"/>
      <c r="G29" s="27"/>
      <c r="H29" s="19">
        <f>-sum(4.4,28.56)</f>
        <v>-32.96</v>
      </c>
      <c r="I29" s="27"/>
      <c r="J29" s="19"/>
      <c r="K29" s="19"/>
      <c r="L29" s="19"/>
      <c r="M29" s="31"/>
      <c r="N29" s="30"/>
      <c r="O29" s="2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9.5" customHeight="1">
      <c r="A30" s="26">
        <v>45307.0</v>
      </c>
      <c r="B30" s="27"/>
      <c r="C30" s="27"/>
      <c r="D30" s="19"/>
      <c r="E30" s="27">
        <v>-10.0</v>
      </c>
      <c r="F30" s="27">
        <v>-31.0</v>
      </c>
      <c r="G30" s="27"/>
      <c r="H30" s="27">
        <f>-sum(11,20.1,16,7.5,68.2)</f>
        <v>-122.8</v>
      </c>
      <c r="I30" s="27">
        <f>-sum(9.5,13.7,12.58)</f>
        <v>-35.78</v>
      </c>
      <c r="J30" s="19"/>
      <c r="K30" s="19"/>
      <c r="L30" s="19"/>
      <c r="M30" s="31"/>
      <c r="N30" s="30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9.5" customHeight="1">
      <c r="A31" s="26">
        <v>45308.0</v>
      </c>
      <c r="B31" s="27"/>
      <c r="C31" s="27"/>
      <c r="D31" s="19"/>
      <c r="E31" s="27">
        <v>-20.0</v>
      </c>
      <c r="F31" s="27">
        <v>-18.8</v>
      </c>
      <c r="G31" s="27">
        <v>-33.43</v>
      </c>
      <c r="H31" s="19">
        <f>-sum(54.5)</f>
        <v>-54.5</v>
      </c>
      <c r="I31" s="19"/>
      <c r="J31" s="19"/>
      <c r="K31" s="27"/>
      <c r="L31" s="27"/>
      <c r="M31" s="30"/>
      <c r="N31" s="30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9.5" customHeight="1">
      <c r="A32" s="26">
        <v>45309.0</v>
      </c>
      <c r="B32" s="19"/>
      <c r="C32" s="27"/>
      <c r="D32" s="13"/>
      <c r="E32" s="27">
        <v>-10.0</v>
      </c>
      <c r="F32" s="27">
        <v>-1.0</v>
      </c>
      <c r="G32" s="27">
        <v>-48.3</v>
      </c>
      <c r="H32" s="19">
        <f>-sum(23.14,9.88,14.42)</f>
        <v>-47.44</v>
      </c>
      <c r="I32" s="27">
        <v>-4.6</v>
      </c>
      <c r="J32" s="19"/>
      <c r="K32" s="19"/>
      <c r="L32" s="27">
        <v>-126.6</v>
      </c>
      <c r="M32" s="30"/>
      <c r="N32" s="30"/>
      <c r="O32" s="2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9.5" customHeight="1">
      <c r="A33" s="26">
        <v>45310.0</v>
      </c>
      <c r="B33" s="27"/>
      <c r="C33" s="27"/>
      <c r="D33" s="19"/>
      <c r="E33" s="27">
        <f>-sum(8,50)</f>
        <v>-58</v>
      </c>
      <c r="F33" s="27">
        <v>-9.0</v>
      </c>
      <c r="G33" s="19"/>
      <c r="H33" s="27"/>
      <c r="I33" s="19">
        <f>-sum(8.4,26)</f>
        <v>-34.4</v>
      </c>
      <c r="J33" s="19"/>
      <c r="K33" s="19"/>
      <c r="L33" s="19"/>
      <c r="M33" s="30"/>
      <c r="N33" s="30"/>
      <c r="O33" s="2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9.5" customHeight="1">
      <c r="A34" s="26">
        <v>45311.0</v>
      </c>
      <c r="B34" s="27"/>
      <c r="C34" s="27"/>
      <c r="D34" s="19"/>
      <c r="E34" s="27"/>
      <c r="F34" s="27">
        <v>-12.02</v>
      </c>
      <c r="G34" s="27"/>
      <c r="H34" s="27">
        <f>-Sum(38.8,40.88,4.2,7.57,23.65,17.42)</f>
        <v>-132.52</v>
      </c>
      <c r="I34" s="27">
        <v>-60.9</v>
      </c>
      <c r="J34" s="19"/>
      <c r="K34" s="27"/>
      <c r="L34" s="27"/>
      <c r="M34" s="30"/>
      <c r="N34" s="30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9.5" customHeight="1">
      <c r="A35" s="26">
        <v>45312.0</v>
      </c>
      <c r="B35" s="27"/>
      <c r="C35" s="27"/>
      <c r="D35" s="19"/>
      <c r="E35" s="19"/>
      <c r="F35" s="27"/>
      <c r="G35" s="27"/>
      <c r="H35" s="19"/>
      <c r="I35" s="19"/>
      <c r="J35" s="19"/>
      <c r="K35" s="19"/>
      <c r="L35" s="27"/>
      <c r="M35" s="30"/>
      <c r="N35" s="30"/>
      <c r="O35" s="2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9.5" customHeight="1">
      <c r="A36" s="26">
        <v>45313.0</v>
      </c>
      <c r="B36" s="27"/>
      <c r="C36" s="27"/>
      <c r="D36" s="19"/>
      <c r="E36" s="27">
        <v>-11.34</v>
      </c>
      <c r="F36" s="27">
        <f>-Sum(9.55,18)</f>
        <v>-27.55</v>
      </c>
      <c r="G36" s="27">
        <v>-33.84</v>
      </c>
      <c r="H36" s="27"/>
      <c r="I36" s="27"/>
      <c r="J36" s="19"/>
      <c r="K36" s="19"/>
      <c r="L36" s="19"/>
      <c r="M36" s="30"/>
      <c r="N36" s="30"/>
      <c r="O36" s="2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9.5" customHeight="1">
      <c r="A37" s="26">
        <v>45314.0</v>
      </c>
      <c r="B37" s="27"/>
      <c r="C37" s="27"/>
      <c r="D37" s="19"/>
      <c r="E37" s="27"/>
      <c r="F37" s="27">
        <f>-sum(18,80,20.99)</f>
        <v>-118.99</v>
      </c>
      <c r="G37" s="27">
        <v>-98.4</v>
      </c>
      <c r="H37" s="19">
        <f>-sum(18.01,16,5.26)</f>
        <v>-39.27</v>
      </c>
      <c r="I37" s="19"/>
      <c r="J37" s="19"/>
      <c r="K37" s="19"/>
      <c r="L37" s="19"/>
      <c r="M37" s="30"/>
      <c r="N37" s="30"/>
      <c r="O37" s="2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9.5" customHeight="1">
      <c r="A38" s="26">
        <v>45315.0</v>
      </c>
      <c r="B38" s="27"/>
      <c r="C38" s="27"/>
      <c r="D38" s="19"/>
      <c r="E38" s="27"/>
      <c r="F38" s="27">
        <v>-2.29</v>
      </c>
      <c r="G38" s="27"/>
      <c r="H38" s="27">
        <f>-sum(210,11.21,37.35)</f>
        <v>-258.56</v>
      </c>
      <c r="I38" s="27"/>
      <c r="J38" s="19"/>
      <c r="K38" s="19"/>
      <c r="L38" s="19"/>
      <c r="M38" s="30"/>
      <c r="N38" s="30"/>
      <c r="O38" s="2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9.5" customHeight="1">
      <c r="A39" s="26">
        <v>45316.0</v>
      </c>
      <c r="B39" s="27"/>
      <c r="C39" s="27"/>
      <c r="D39" s="19"/>
      <c r="E39" s="27"/>
      <c r="F39" s="27">
        <f>-sum(3,20,4.8)</f>
        <v>-27.8</v>
      </c>
      <c r="G39" s="27"/>
      <c r="H39" s="19">
        <f>-sum(12,22.05,18,7.95)</f>
        <v>-60</v>
      </c>
      <c r="I39" s="19"/>
      <c r="J39" s="19"/>
      <c r="K39" s="19"/>
      <c r="L39" s="19"/>
      <c r="M39" s="30"/>
      <c r="N39" s="30"/>
      <c r="O39" s="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9.5" customHeight="1">
      <c r="A40" s="26">
        <v>45317.0</v>
      </c>
      <c r="B40" s="27"/>
      <c r="C40" s="27"/>
      <c r="D40" s="19"/>
      <c r="E40" s="27"/>
      <c r="F40" s="27">
        <v>-157.8</v>
      </c>
      <c r="G40" s="27"/>
      <c r="H40" s="27">
        <f>-sum(28.96,7.62)</f>
        <v>-36.58</v>
      </c>
      <c r="I40" s="27">
        <v>-7.27</v>
      </c>
      <c r="J40" s="19"/>
      <c r="K40" s="19"/>
      <c r="L40" s="19"/>
      <c r="M40" s="30"/>
      <c r="N40" s="30"/>
      <c r="O40" s="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9.5" customHeight="1">
      <c r="A41" s="26">
        <v>45318.0</v>
      </c>
      <c r="B41" s="27"/>
      <c r="C41" s="27"/>
      <c r="D41" s="19"/>
      <c r="E41" s="19"/>
      <c r="F41" s="27">
        <v>-38.42</v>
      </c>
      <c r="G41" s="27"/>
      <c r="H41" s="27"/>
      <c r="I41" s="19">
        <f>-sum(34.56,15)</f>
        <v>-49.56</v>
      </c>
      <c r="J41" s="19"/>
      <c r="K41" s="19"/>
      <c r="L41" s="27"/>
      <c r="M41" s="30"/>
      <c r="N41" s="30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9.5" customHeight="1">
      <c r="A42" s="26">
        <v>45319.0</v>
      </c>
      <c r="B42" s="27"/>
      <c r="C42" s="27"/>
      <c r="D42" s="19"/>
      <c r="E42" s="27"/>
      <c r="F42" s="27">
        <v>-200.0</v>
      </c>
      <c r="G42" s="19"/>
      <c r="H42" s="27">
        <f>-sum(26.16,70.11)</f>
        <v>-96.27</v>
      </c>
      <c r="I42" s="27"/>
      <c r="J42" s="27"/>
      <c r="K42" s="19"/>
      <c r="L42" s="27"/>
      <c r="M42" s="30"/>
      <c r="N42" s="30"/>
      <c r="O42" s="2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9.5" customHeight="1">
      <c r="A43" s="26">
        <v>45320.0</v>
      </c>
      <c r="B43" s="27"/>
      <c r="C43" s="27"/>
      <c r="D43" s="19"/>
      <c r="E43" s="27"/>
      <c r="F43" s="27">
        <v>-2078.0</v>
      </c>
      <c r="G43" s="27">
        <v>-64.99</v>
      </c>
      <c r="H43" s="27">
        <f>-sum(6.1,21.99)</f>
        <v>-28.09</v>
      </c>
      <c r="I43" s="27"/>
      <c r="J43" s="19"/>
      <c r="K43" s="19"/>
      <c r="L43" s="27">
        <v>-126.6</v>
      </c>
      <c r="M43" s="30"/>
      <c r="N43" s="30"/>
      <c r="O43" s="2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9.5" customHeight="1">
      <c r="A44" s="26">
        <v>45321.0</v>
      </c>
      <c r="B44" s="27"/>
      <c r="C44" s="27"/>
      <c r="D44" s="19"/>
      <c r="E44" s="27"/>
      <c r="F44" s="27">
        <f>-sum(39.95,7.5)</f>
        <v>-47.45</v>
      </c>
      <c r="G44" s="27">
        <v>-333.48</v>
      </c>
      <c r="H44" s="27">
        <f>-sum(56)</f>
        <v>-56</v>
      </c>
      <c r="I44" s="27"/>
      <c r="J44" s="19"/>
      <c r="K44" s="19"/>
      <c r="L44" s="19"/>
      <c r="M44" s="30"/>
      <c r="N44" s="30"/>
      <c r="O44" s="2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9.5" customHeight="1">
      <c r="A45" s="26">
        <v>45322.0</v>
      </c>
      <c r="B45" s="27"/>
      <c r="C45" s="27"/>
      <c r="D45" s="19"/>
      <c r="E45" s="27"/>
      <c r="F45" s="27"/>
      <c r="G45" s="19"/>
      <c r="H45" s="27">
        <f>-sum(14.47,3.06,16.39)</f>
        <v>-33.92</v>
      </c>
      <c r="I45" s="19"/>
      <c r="J45" s="27"/>
      <c r="K45" s="19"/>
      <c r="L45" s="19"/>
      <c r="M45" s="30"/>
      <c r="N45" s="30"/>
      <c r="O45" s="2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9.5" customHeight="1">
      <c r="A46" s="26">
        <v>45323.0</v>
      </c>
      <c r="B46" s="27"/>
      <c r="C46" s="27"/>
      <c r="D46" s="19"/>
      <c r="E46" s="19"/>
      <c r="F46" s="27">
        <f>-sum(14.8,141)</f>
        <v>-155.8</v>
      </c>
      <c r="G46" s="27">
        <f>-sum(9.99,48.3)</f>
        <v>-58.29</v>
      </c>
      <c r="H46" s="19">
        <f>-Sum(16.16,14.35)</f>
        <v>-30.51</v>
      </c>
      <c r="I46" s="19"/>
      <c r="J46" s="19"/>
      <c r="K46" s="19"/>
      <c r="L46" s="27"/>
      <c r="M46" s="30"/>
      <c r="N46" s="3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9.5" customHeight="1">
      <c r="A47" s="26">
        <v>45324.0</v>
      </c>
      <c r="B47" s="27"/>
      <c r="C47" s="27"/>
      <c r="D47" s="19"/>
      <c r="E47" s="27">
        <v>-50.0</v>
      </c>
      <c r="F47" s="27">
        <v>-30.0</v>
      </c>
      <c r="G47" s="27"/>
      <c r="H47" s="27">
        <f>-sum(5.23,21.7)</f>
        <v>-26.93</v>
      </c>
      <c r="I47" s="19"/>
      <c r="J47" s="27">
        <v>-500.0</v>
      </c>
      <c r="K47" s="27"/>
      <c r="L47" s="27">
        <v>-84.4</v>
      </c>
      <c r="M47" s="30"/>
      <c r="N47" s="3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9.5" customHeight="1">
      <c r="A48" s="26">
        <v>45325.0</v>
      </c>
      <c r="B48" s="27"/>
      <c r="C48" s="27"/>
      <c r="D48" s="19"/>
      <c r="E48" s="27">
        <v>-50.0</v>
      </c>
      <c r="F48" s="27">
        <v>-14.17</v>
      </c>
      <c r="G48" s="19"/>
      <c r="H48" s="27">
        <f>-sum(12,15.1,10,12)</f>
        <v>-49.1</v>
      </c>
      <c r="I48" s="27"/>
      <c r="J48" s="27">
        <v>-500.0</v>
      </c>
      <c r="K48" s="27"/>
      <c r="L48" s="27"/>
      <c r="M48" s="30"/>
      <c r="N48" s="30"/>
      <c r="O48" s="2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9.5" customHeight="1">
      <c r="A49" s="26">
        <v>45326.0</v>
      </c>
      <c r="B49" s="27"/>
      <c r="C49" s="27"/>
      <c r="D49" s="19"/>
      <c r="E49" s="27"/>
      <c r="F49" s="27"/>
      <c r="G49" s="27"/>
      <c r="H49" s="27"/>
      <c r="I49" s="27">
        <v>-27.5</v>
      </c>
      <c r="J49" s="19"/>
      <c r="K49" s="19"/>
      <c r="L49" s="27"/>
      <c r="M49" s="30"/>
      <c r="N49" s="30"/>
      <c r="O49" s="2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9.5" customHeight="1">
      <c r="A50" s="26">
        <v>45327.0</v>
      </c>
      <c r="B50" s="27"/>
      <c r="C50" s="27"/>
      <c r="D50" s="19"/>
      <c r="E50" s="27"/>
      <c r="F50" s="27"/>
      <c r="G50" s="27">
        <f>-sum(33.84,38.21,29.17)</f>
        <v>-101.22</v>
      </c>
      <c r="H50" s="27">
        <f>-sum(6.43,22.47)</f>
        <v>-28.9</v>
      </c>
      <c r="I50" s="27"/>
      <c r="J50" s="19"/>
      <c r="K50" s="19"/>
      <c r="L50" s="27"/>
      <c r="M50" s="30"/>
      <c r="N50" s="30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9.5" customHeight="1">
      <c r="A51" s="26">
        <v>45328.0</v>
      </c>
      <c r="B51" s="27"/>
      <c r="C51" s="27"/>
      <c r="D51" s="19"/>
      <c r="E51" s="27"/>
      <c r="F51" s="27">
        <v>-9.45</v>
      </c>
      <c r="G51" s="27"/>
      <c r="H51" s="27">
        <v>-11.7</v>
      </c>
      <c r="I51" s="27"/>
      <c r="J51" s="19"/>
      <c r="K51" s="19">
        <f>-sum(1385,744)</f>
        <v>-2129</v>
      </c>
      <c r="L51" s="19"/>
      <c r="M51" s="30"/>
      <c r="N51" s="30"/>
      <c r="O51" s="2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9.5" customHeight="1">
      <c r="A52" s="26">
        <v>45329.0</v>
      </c>
      <c r="B52" s="27"/>
      <c r="C52" s="27"/>
      <c r="D52" s="19"/>
      <c r="E52" s="27"/>
      <c r="F52" s="27">
        <v>-10.0</v>
      </c>
      <c r="G52" s="27">
        <v>-126.96</v>
      </c>
      <c r="H52" s="27">
        <f>-sum(27.99,16.26,65.58)</f>
        <v>-109.83</v>
      </c>
      <c r="I52" s="19"/>
      <c r="J52" s="19"/>
      <c r="K52" s="19"/>
      <c r="L52" s="27"/>
      <c r="M52" s="30"/>
      <c r="N52" s="30"/>
      <c r="O52" s="3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9.5" customHeight="1">
      <c r="A53" s="26">
        <v>45330.0</v>
      </c>
      <c r="B53" s="27"/>
      <c r="C53" s="27"/>
      <c r="D53" s="19"/>
      <c r="E53" s="27"/>
      <c r="F53" s="27">
        <v>-4.49</v>
      </c>
      <c r="G53" s="27"/>
      <c r="H53" s="19"/>
      <c r="I53" s="27"/>
      <c r="J53" s="19"/>
      <c r="K53" s="19"/>
      <c r="L53" s="19"/>
      <c r="M53" s="30"/>
      <c r="N53" s="30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9.5" customHeight="1">
      <c r="A54" s="26">
        <v>45331.0</v>
      </c>
      <c r="B54" s="27"/>
      <c r="C54" s="27"/>
      <c r="D54" s="19"/>
      <c r="E54" s="27"/>
      <c r="F54" s="27">
        <f>-Sum(4,34)</f>
        <v>-38</v>
      </c>
      <c r="G54" s="27"/>
      <c r="H54" s="27">
        <v>-47.88</v>
      </c>
      <c r="I54" s="27">
        <v>-57.8</v>
      </c>
      <c r="J54" s="19"/>
      <c r="K54" s="19"/>
      <c r="L54" s="19"/>
      <c r="M54" s="30"/>
      <c r="N54" s="3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9.5" customHeight="1">
      <c r="A55" s="26">
        <v>45332.0</v>
      </c>
      <c r="B55" s="27"/>
      <c r="C55" s="27"/>
      <c r="D55" s="19"/>
      <c r="E55" s="19"/>
      <c r="F55" s="27"/>
      <c r="G55" s="27"/>
      <c r="H55" s="27">
        <f>-Sum(31.65,46)</f>
        <v>-77.65</v>
      </c>
      <c r="I55" s="27"/>
      <c r="J55" s="19"/>
      <c r="K55" s="19"/>
      <c r="L55" s="27"/>
      <c r="M55" s="30"/>
      <c r="N55" s="30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9.5" customHeight="1">
      <c r="A56" s="26">
        <v>45333.0</v>
      </c>
      <c r="B56" s="19"/>
      <c r="C56" s="27"/>
      <c r="D56" s="19"/>
      <c r="E56" s="19"/>
      <c r="F56" s="27"/>
      <c r="G56" s="19"/>
      <c r="H56">
        <f>-sum(9.5,17.55,2)</f>
        <v>-29.05</v>
      </c>
      <c r="I56" s="27">
        <v>-36.1</v>
      </c>
      <c r="J56" s="19"/>
      <c r="K56" s="19"/>
      <c r="L56" s="27"/>
      <c r="M56" s="30"/>
      <c r="N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9.5" customHeight="1">
      <c r="A57" s="26">
        <v>45334.0</v>
      </c>
      <c r="B57" s="27"/>
      <c r="C57" s="27"/>
      <c r="D57" s="19"/>
      <c r="E57" s="27"/>
      <c r="F57" s="19"/>
      <c r="G57" s="19"/>
      <c r="H57" s="27">
        <v>-10.85</v>
      </c>
      <c r="I57" s="27"/>
      <c r="J57" s="19"/>
      <c r="K57" s="19"/>
      <c r="L57" s="19"/>
      <c r="M57" s="30"/>
      <c r="N57" s="30"/>
      <c r="O57" s="3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9.5" customHeight="1">
      <c r="A58" s="26">
        <v>45335.0</v>
      </c>
      <c r="B58" s="27"/>
      <c r="C58" s="27"/>
      <c r="D58" s="19"/>
      <c r="E58" s="27"/>
      <c r="F58" s="27"/>
      <c r="G58" s="27">
        <v>-4.49</v>
      </c>
      <c r="H58" s="27">
        <f>-sum(6,24.44,139.2,-10)</f>
        <v>-159.64</v>
      </c>
      <c r="I58" s="19"/>
      <c r="J58" s="27">
        <v>-300.0</v>
      </c>
      <c r="K58" s="19"/>
      <c r="L58" s="19"/>
      <c r="M58" s="30"/>
      <c r="N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9.5" customHeight="1">
      <c r="A59" s="26">
        <v>45336.0</v>
      </c>
      <c r="B59" s="27"/>
      <c r="C59" s="27"/>
      <c r="D59" s="19"/>
      <c r="E59" s="27"/>
      <c r="F59" s="27"/>
      <c r="G59" s="27"/>
      <c r="H59" s="27">
        <v>-24.4</v>
      </c>
      <c r="I59" s="27"/>
      <c r="J59" s="19"/>
      <c r="K59" s="27">
        <v>-400.0</v>
      </c>
      <c r="L59" s="19"/>
      <c r="M59" s="30"/>
      <c r="N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9.5" customHeight="1">
      <c r="A60" s="26">
        <v>45337.0</v>
      </c>
      <c r="B60" s="27"/>
      <c r="C60" s="27"/>
      <c r="D60" s="19"/>
      <c r="E60" s="27"/>
      <c r="F60" s="27"/>
      <c r="G60" s="27">
        <v>-48.3</v>
      </c>
      <c r="H60" s="27">
        <f>-sum(19.09,10,12.2,8.09,27.26,6.13)</f>
        <v>-82.77</v>
      </c>
      <c r="I60" s="27"/>
      <c r="J60" s="19"/>
      <c r="K60" s="19"/>
      <c r="L60" s="27"/>
      <c r="M60" s="30"/>
      <c r="N60" s="30"/>
      <c r="O60" s="2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9.5" customHeight="1">
      <c r="A61" s="26">
        <v>45338.0</v>
      </c>
      <c r="B61" s="27"/>
      <c r="C61" s="27"/>
      <c r="D61" s="19"/>
      <c r="E61" s="33"/>
      <c r="F61" s="19"/>
      <c r="G61" s="27">
        <v>-33.87</v>
      </c>
      <c r="H61" s="27">
        <f>-sum(17.99,49.7,12,10.9,7.15)</f>
        <v>-97.74</v>
      </c>
      <c r="I61" s="27">
        <f>-sum(53.8,43)</f>
        <v>-96.8</v>
      </c>
      <c r="J61" s="19"/>
      <c r="K61" s="19"/>
      <c r="L61" s="27">
        <v>-84.4</v>
      </c>
      <c r="M61" s="30"/>
      <c r="N61" s="30"/>
      <c r="O61" s="2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9.5" customHeight="1">
      <c r="A62" s="26">
        <v>45339.0</v>
      </c>
      <c r="B62" s="27"/>
      <c r="C62" s="27"/>
      <c r="D62" s="19"/>
      <c r="E62" s="27"/>
      <c r="F62" s="27"/>
      <c r="G62" s="27"/>
      <c r="H62" s="27">
        <v>-6.6</v>
      </c>
      <c r="I62" s="19"/>
      <c r="J62" s="19"/>
      <c r="K62" s="19"/>
      <c r="L62" s="19"/>
      <c r="M62" s="30"/>
      <c r="N62" s="30"/>
      <c r="O62" s="2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9.5" customHeight="1">
      <c r="A63" s="26">
        <v>45340.0</v>
      </c>
      <c r="B63" s="27"/>
      <c r="C63" s="27"/>
      <c r="D63" s="19"/>
      <c r="E63" s="27"/>
      <c r="F63" s="27"/>
      <c r="G63" s="19"/>
      <c r="H63" s="27">
        <v>-21.05</v>
      </c>
      <c r="I63" s="27"/>
      <c r="J63" s="19"/>
      <c r="K63" s="19"/>
      <c r="L63" s="27"/>
      <c r="M63" s="30"/>
      <c r="N63" s="30"/>
      <c r="O63" s="2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9.5" customHeight="1">
      <c r="A64" s="26">
        <v>45341.0</v>
      </c>
      <c r="B64" s="27"/>
      <c r="C64" s="27"/>
      <c r="D64" s="19"/>
      <c r="E64" s="19"/>
      <c r="F64" s="27"/>
      <c r="G64" s="27">
        <f>-sum(33.84,1.02)</f>
        <v>-34.86</v>
      </c>
      <c r="H64" s="27">
        <f>-sum(5.29,6.12)</f>
        <v>-11.41</v>
      </c>
      <c r="I64" s="27"/>
      <c r="J64" s="19"/>
      <c r="K64" s="19"/>
      <c r="L64" s="19"/>
      <c r="M64" s="30"/>
      <c r="N64" s="30"/>
      <c r="O64" s="2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9.5" customHeight="1">
      <c r="A65" s="26">
        <v>45342.0</v>
      </c>
      <c r="B65" s="27"/>
      <c r="C65" s="27"/>
      <c r="D65" s="19"/>
      <c r="E65" s="19"/>
      <c r="F65" s="27"/>
      <c r="G65" s="27"/>
      <c r="H65" s="19">
        <f>-sum(22.14,14.65)</f>
        <v>-36.79</v>
      </c>
      <c r="I65" s="19"/>
      <c r="J65" s="19"/>
      <c r="K65" s="19"/>
      <c r="L65" s="19"/>
      <c r="M65" s="30"/>
      <c r="N65" s="30"/>
      <c r="O65" s="2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9.5" customHeight="1">
      <c r="A66" s="26">
        <v>45343.0</v>
      </c>
      <c r="B66" s="27"/>
      <c r="C66" s="27"/>
      <c r="D66" s="19"/>
      <c r="E66" s="19"/>
      <c r="F66" s="27"/>
      <c r="G66" s="27">
        <v>-20.22</v>
      </c>
      <c r="H66" s="27">
        <f>-sum(2,9.9,10.06,11.55,8.98,7.57)</f>
        <v>-50.06</v>
      </c>
      <c r="I66" s="27"/>
      <c r="J66" s="19"/>
      <c r="K66" s="19"/>
      <c r="L66" s="19"/>
      <c r="M66" s="30"/>
      <c r="N66" s="30"/>
      <c r="O66" s="2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9.5" customHeight="1">
      <c r="A67" s="26">
        <v>45344.0</v>
      </c>
      <c r="B67" s="27"/>
      <c r="C67" s="27"/>
      <c r="D67" s="19"/>
      <c r="E67" s="27"/>
      <c r="F67" s="27">
        <f>-sum(15,15.25)</f>
        <v>-30.25</v>
      </c>
      <c r="G67" s="27">
        <v>-4.16</v>
      </c>
      <c r="H67" s="27">
        <f>-sum(4.6,11.99,12,8.42,12.72)</f>
        <v>-49.73</v>
      </c>
      <c r="I67" s="19"/>
      <c r="J67" s="19"/>
      <c r="K67" s="19"/>
      <c r="L67" s="19"/>
      <c r="M67" s="30"/>
      <c r="N67" s="30"/>
      <c r="O67" s="2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9.5" customHeight="1">
      <c r="A68" s="26">
        <v>45345.0</v>
      </c>
      <c r="B68" s="27"/>
      <c r="C68" s="27"/>
      <c r="D68" s="19"/>
      <c r="E68" s="27"/>
      <c r="F68" s="27"/>
      <c r="G68" s="27">
        <v>-64.99</v>
      </c>
      <c r="H68" s="19">
        <f>-sum(-20,15.02,60.99,16,4.4,10.05)</f>
        <v>-86.46</v>
      </c>
      <c r="I68" s="19">
        <f>-sum(4.95,14.08)</f>
        <v>-19.03</v>
      </c>
      <c r="J68" s="19"/>
      <c r="K68" s="19"/>
      <c r="L68" s="27">
        <v>-84.4</v>
      </c>
      <c r="M68" s="30"/>
      <c r="N68" s="30"/>
      <c r="O68" s="2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9.5" customHeight="1">
      <c r="A69" s="26">
        <v>45346.0</v>
      </c>
      <c r="B69" s="27"/>
      <c r="C69" s="27"/>
      <c r="D69" s="19"/>
      <c r="E69" s="27"/>
      <c r="F69" s="27"/>
      <c r="G69" s="19"/>
      <c r="H69" s="39">
        <v>-210.7</v>
      </c>
      <c r="I69" s="19"/>
      <c r="J69" s="19"/>
      <c r="K69" s="19"/>
      <c r="L69" s="27"/>
      <c r="M69" s="30"/>
      <c r="N69" s="30"/>
      <c r="O69" s="2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9.5" customHeight="1">
      <c r="A70" s="26">
        <v>45347.0</v>
      </c>
      <c r="B70" s="27"/>
      <c r="C70" s="27"/>
      <c r="D70" s="19"/>
      <c r="E70" s="27"/>
      <c r="F70" s="27"/>
      <c r="G70" s="27"/>
      <c r="H70" s="27">
        <f>-sum(19.2,25.15)</f>
        <v>-44.35</v>
      </c>
      <c r="I70" s="27"/>
      <c r="J70" s="19"/>
      <c r="K70" s="27"/>
      <c r="L70" s="27"/>
      <c r="M70" s="30"/>
      <c r="N70" s="30"/>
      <c r="O70" s="2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9.5" customHeight="1">
      <c r="A71" s="26">
        <v>45348.0</v>
      </c>
      <c r="B71" s="27"/>
      <c r="C71" s="27"/>
      <c r="D71" s="19"/>
      <c r="E71" s="27"/>
      <c r="F71" s="27">
        <f>-sum(5,15)</f>
        <v>-20</v>
      </c>
      <c r="G71" s="27"/>
      <c r="H71" s="27">
        <f>-sum(23.97,15.52,19.03)</f>
        <v>-58.52</v>
      </c>
      <c r="I71" s="27"/>
      <c r="J71" s="19"/>
      <c r="K71" s="19"/>
      <c r="L71" s="19"/>
      <c r="M71" s="30"/>
      <c r="N71" s="30"/>
      <c r="O71" s="2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9.5" customHeight="1">
      <c r="A72" s="26">
        <v>45349.0</v>
      </c>
      <c r="B72" s="27"/>
      <c r="C72" s="27"/>
      <c r="D72" s="19"/>
      <c r="E72" s="19"/>
      <c r="F72" s="27">
        <v>-10.0</v>
      </c>
      <c r="G72" s="27"/>
      <c r="H72" s="19">
        <f>-sum(18.99,11.2)</f>
        <v>-30.19</v>
      </c>
      <c r="I72" s="27"/>
      <c r="J72" s="27"/>
      <c r="K72" s="19"/>
      <c r="L72" s="19"/>
      <c r="M72" s="30"/>
      <c r="N72" s="30"/>
      <c r="O72" s="2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9.5" customHeight="1">
      <c r="A73" s="26">
        <v>45350.0</v>
      </c>
      <c r="B73" s="27"/>
      <c r="C73" s="27"/>
      <c r="D73" s="19"/>
      <c r="E73" s="27"/>
      <c r="F73" s="19"/>
      <c r="G73" s="27">
        <v>-456.0</v>
      </c>
      <c r="H73" s="27">
        <f>-sum(16.4,2.99,18.05)</f>
        <v>-37.44</v>
      </c>
      <c r="I73" s="27">
        <v>-35.52</v>
      </c>
      <c r="J73" s="27">
        <v>-151.74</v>
      </c>
      <c r="K73" s="19"/>
      <c r="L73" s="19"/>
      <c r="M73" s="30"/>
      <c r="N73" s="30"/>
      <c r="O73" s="2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9.5" customHeight="1">
      <c r="A74" s="26">
        <v>45352.0</v>
      </c>
      <c r="B74" s="19"/>
      <c r="C74" s="27"/>
      <c r="D74" s="19"/>
      <c r="E74" s="27"/>
      <c r="F74" s="27"/>
      <c r="G74" s="27">
        <f>-Sum(48.3,9.9)</f>
        <v>-58.2</v>
      </c>
      <c r="H74" s="19"/>
      <c r="I74" s="19"/>
      <c r="J74" s="19"/>
      <c r="K74" s="19"/>
      <c r="L74" s="27">
        <v>-84.4</v>
      </c>
      <c r="M74" s="30"/>
      <c r="N74" s="3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9.5" customHeight="1">
      <c r="A75" s="26">
        <v>45353.0</v>
      </c>
      <c r="B75" s="19"/>
      <c r="C75" s="27"/>
      <c r="D75" s="19"/>
      <c r="E75" s="19"/>
      <c r="F75" s="27"/>
      <c r="G75" s="27"/>
      <c r="H75" s="27">
        <v>-11.35</v>
      </c>
      <c r="I75" s="27"/>
      <c r="J75" s="19"/>
      <c r="K75" s="27"/>
      <c r="L75" s="19"/>
      <c r="M75" s="30"/>
      <c r="N75" s="3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9.5" customHeight="1">
      <c r="A76" s="26">
        <v>45354.0</v>
      </c>
      <c r="B76" s="19"/>
      <c r="C76" s="27"/>
      <c r="D76" s="19"/>
      <c r="E76" s="27"/>
      <c r="F76" s="27">
        <v>-15.0</v>
      </c>
      <c r="G76" s="27"/>
      <c r="I76" s="27">
        <v>-66.12</v>
      </c>
      <c r="J76" s="27">
        <v>-200.0</v>
      </c>
      <c r="K76" s="19"/>
      <c r="L76" s="27"/>
      <c r="M76" s="30"/>
      <c r="N76" s="3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9.5" customHeight="1">
      <c r="A77" s="26">
        <v>45355.0</v>
      </c>
      <c r="B77" s="19"/>
      <c r="C77" s="27"/>
      <c r="D77" s="19"/>
      <c r="E77" s="19"/>
      <c r="G77" s="27">
        <v>-33.84</v>
      </c>
      <c r="H77" s="29">
        <f>-sum(3.1,3.29,35.15)</f>
        <v>-41.54</v>
      </c>
      <c r="I77" s="27">
        <v>-71.12</v>
      </c>
      <c r="J77" s="19"/>
      <c r="K77" s="27"/>
      <c r="L77" s="27"/>
      <c r="M77" s="30"/>
      <c r="N77" s="3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9.5" customHeight="1">
      <c r="A78" s="26">
        <v>45356.0</v>
      </c>
      <c r="B78" s="19"/>
      <c r="C78" s="27"/>
      <c r="D78" s="19"/>
      <c r="E78" s="19"/>
      <c r="F78" s="27">
        <f>-sum(28.75,449,-200)</f>
        <v>-277.75</v>
      </c>
      <c r="G78" s="27">
        <v>-97.0</v>
      </c>
      <c r="H78" s="19"/>
      <c r="I78" s="19"/>
      <c r="J78" s="19"/>
      <c r="K78" s="27"/>
      <c r="L78" s="19"/>
      <c r="M78" s="30"/>
      <c r="N78" s="3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9.5" customHeight="1">
      <c r="A79" s="26">
        <v>45357.0</v>
      </c>
      <c r="B79" s="19"/>
      <c r="C79" s="27"/>
      <c r="D79" s="19"/>
      <c r="E79" s="27"/>
      <c r="F79" s="27">
        <v>-160.0</v>
      </c>
      <c r="G79" s="27">
        <v>-29.17</v>
      </c>
      <c r="H79" s="27">
        <v>-53.35</v>
      </c>
      <c r="I79" s="27">
        <v>-42.36</v>
      </c>
      <c r="J79" s="19"/>
      <c r="K79" s="27">
        <f>-sum(1385,756)</f>
        <v>-2141</v>
      </c>
      <c r="L79" s="27"/>
      <c r="M79" s="30"/>
      <c r="N79" s="3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9.5" customHeight="1">
      <c r="A80" s="26">
        <v>45358.0</v>
      </c>
      <c r="B80" s="19"/>
      <c r="C80" s="27"/>
      <c r="D80" s="19"/>
      <c r="E80" s="27"/>
      <c r="F80" s="27">
        <v>-30.82</v>
      </c>
      <c r="G80" s="27">
        <v>-39.1</v>
      </c>
      <c r="H80" s="27">
        <f>-sum(51,34.3)</f>
        <v>-85.3</v>
      </c>
      <c r="I80" s="27">
        <f>-Sum(19.1,54.81,4.6)</f>
        <v>-78.51</v>
      </c>
      <c r="J80" s="19"/>
      <c r="K80" s="19"/>
      <c r="L80" s="19"/>
      <c r="M80" s="30"/>
      <c r="N80" s="3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9.5" customHeight="1">
      <c r="A81" s="26">
        <v>45359.0</v>
      </c>
      <c r="B81" s="19"/>
      <c r="C81" s="27"/>
      <c r="D81" s="19"/>
      <c r="E81" s="27"/>
      <c r="F81" s="27">
        <v>-47.2</v>
      </c>
      <c r="G81" s="27"/>
      <c r="H81" s="27"/>
      <c r="I81" s="27">
        <v>-16.5</v>
      </c>
      <c r="J81" s="27">
        <v>4.0</v>
      </c>
      <c r="K81" s="19"/>
      <c r="L81" s="27">
        <v>-84.4</v>
      </c>
      <c r="M81" s="30"/>
      <c r="N81" s="3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9.5" customHeight="1">
      <c r="A82" s="26">
        <v>45360.0</v>
      </c>
      <c r="B82" s="19"/>
      <c r="C82" s="27"/>
      <c r="D82" s="19"/>
      <c r="E82" s="19"/>
      <c r="F82" s="27"/>
      <c r="G82" s="27"/>
      <c r="H82" s="19"/>
      <c r="I82" s="27">
        <v>-51.0</v>
      </c>
      <c r="J82" s="19"/>
      <c r="K82" s="19"/>
      <c r="L82" s="19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9.5" customHeight="1">
      <c r="A83" s="26">
        <v>45361.0</v>
      </c>
      <c r="B83" s="19"/>
      <c r="C83" s="27"/>
      <c r="D83" s="19"/>
      <c r="E83" s="27"/>
      <c r="F83" s="27"/>
      <c r="G83" s="27"/>
      <c r="H83" s="27">
        <v>-14.0</v>
      </c>
      <c r="I83" s="19">
        <f>-sum(6.09,44.25)</f>
        <v>-50.34</v>
      </c>
      <c r="J83" s="19"/>
      <c r="K83" s="19"/>
      <c r="L83" s="27"/>
      <c r="M83" s="30"/>
      <c r="N83" s="3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9.5" customHeight="1">
      <c r="A84" s="26">
        <v>45362.0</v>
      </c>
      <c r="B84" s="19"/>
      <c r="C84" s="27"/>
      <c r="D84" s="19"/>
      <c r="E84" s="27"/>
      <c r="F84" s="19"/>
      <c r="G84" s="27"/>
      <c r="H84" s="27">
        <f>-sum(76.07,1.78)</f>
        <v>-77.85</v>
      </c>
      <c r="I84" s="27">
        <v>-5.76</v>
      </c>
      <c r="J84" s="19"/>
      <c r="K84" s="19"/>
      <c r="L84" s="27"/>
      <c r="M84" s="30"/>
      <c r="N84" s="3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9.5" customHeight="1">
      <c r="A85" s="26">
        <v>45363.0</v>
      </c>
      <c r="B85" s="19"/>
      <c r="C85" s="27"/>
      <c r="D85" s="19"/>
      <c r="E85" s="27"/>
      <c r="F85" s="27"/>
      <c r="G85" s="19"/>
      <c r="H85" s="19"/>
      <c r="I85" s="27"/>
      <c r="J85" s="19"/>
      <c r="K85" s="19"/>
      <c r="L85" s="19"/>
      <c r="M85" s="30"/>
      <c r="N85" s="3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9.5" customHeight="1">
      <c r="A86" s="26">
        <v>45364.0</v>
      </c>
      <c r="B86" s="19"/>
      <c r="C86" s="27"/>
      <c r="D86" s="19"/>
      <c r="E86" s="27"/>
      <c r="F86" s="27"/>
      <c r="G86" s="27">
        <v>-4.49</v>
      </c>
      <c r="H86" s="27">
        <v>-11.1</v>
      </c>
      <c r="I86" s="27"/>
      <c r="J86" s="19"/>
      <c r="K86" s="27"/>
      <c r="L86" s="19"/>
      <c r="M86" s="30"/>
      <c r="N86" s="3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9.5" customHeight="1">
      <c r="A87" s="26">
        <v>45365.0</v>
      </c>
      <c r="B87" s="19"/>
      <c r="C87" s="27"/>
      <c r="D87" s="19"/>
      <c r="E87" s="27"/>
      <c r="F87" s="27"/>
      <c r="G87" s="27">
        <v>-48.3</v>
      </c>
      <c r="H87" s="27">
        <f>-sum(3.95,23.52,5.88)</f>
        <v>-33.35</v>
      </c>
      <c r="I87" s="27">
        <v>-11.67</v>
      </c>
      <c r="J87" s="19"/>
      <c r="K87" s="19"/>
      <c r="L87" s="19"/>
      <c r="M87" s="30"/>
      <c r="N87" s="3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9.5" customHeight="1">
      <c r="A88" s="26">
        <v>45366.0</v>
      </c>
      <c r="B88" s="19"/>
      <c r="C88" s="27"/>
      <c r="D88" s="19"/>
      <c r="E88" s="27"/>
      <c r="F88" s="39">
        <v>-29.95</v>
      </c>
      <c r="G88" s="27"/>
      <c r="H88" s="19">
        <f>-sum(26.9,3.55,10.06)</f>
        <v>-40.51</v>
      </c>
      <c r="I88" s="27">
        <v>-6.6</v>
      </c>
      <c r="J88" s="19"/>
      <c r="K88" s="19"/>
      <c r="L88" s="27">
        <v>-84.4</v>
      </c>
      <c r="M88" s="30"/>
      <c r="N88" s="3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9.5" customHeight="1">
      <c r="A89" s="26">
        <v>45367.0</v>
      </c>
      <c r="B89" s="19"/>
      <c r="C89" s="27"/>
      <c r="D89" s="19"/>
      <c r="E89" s="27"/>
      <c r="F89" s="27"/>
      <c r="G89" s="27"/>
      <c r="H89" s="27"/>
      <c r="I89" s="27">
        <v>-6.05</v>
      </c>
      <c r="J89" s="19"/>
      <c r="K89" s="19"/>
      <c r="L89" s="27"/>
      <c r="M89" s="30"/>
      <c r="N89" s="3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9.5" customHeight="1">
      <c r="A90" s="26">
        <v>45368.0</v>
      </c>
      <c r="B90" s="19"/>
      <c r="C90" s="27"/>
      <c r="D90" s="19"/>
      <c r="E90" s="19"/>
      <c r="F90" s="27">
        <f>-sum(14.9,10)</f>
        <v>-24.9</v>
      </c>
      <c r="G90" s="27">
        <v>-33.59</v>
      </c>
      <c r="H90" s="27">
        <v>-28.9</v>
      </c>
      <c r="I90" s="27">
        <f>-sum(13.7,48.5)</f>
        <v>-62.2</v>
      </c>
      <c r="J90" s="19"/>
      <c r="K90" s="19"/>
      <c r="L90" s="27"/>
      <c r="M90" s="30"/>
      <c r="N90" s="30"/>
      <c r="O90" s="2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9.5" customHeight="1">
      <c r="A91" s="26">
        <v>45369.0</v>
      </c>
      <c r="B91" s="19"/>
      <c r="C91" s="27"/>
      <c r="D91" s="19"/>
      <c r="E91" s="27"/>
      <c r="F91" s="27"/>
      <c r="G91" s="27">
        <f>-sum(240,33.8)</f>
        <v>-273.8</v>
      </c>
      <c r="H91" s="19">
        <f>-sum(8,17.68)</f>
        <v>-25.68</v>
      </c>
      <c r="I91" s="19">
        <f>-sum(4.24,10.2)</f>
        <v>-14.44</v>
      </c>
      <c r="J91" s="19"/>
      <c r="K91" s="27"/>
      <c r="L91" s="27"/>
      <c r="M91" s="30"/>
      <c r="N91" s="3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9.5" customHeight="1">
      <c r="A92" s="26">
        <v>45370.0</v>
      </c>
      <c r="B92" s="19"/>
      <c r="C92" s="27"/>
      <c r="D92" s="19"/>
      <c r="E92" s="19"/>
      <c r="F92" s="27"/>
      <c r="G92" s="27">
        <v>-1.01</v>
      </c>
      <c r="H92" s="19">
        <f>-sum(2,5.24)</f>
        <v>-7.24</v>
      </c>
      <c r="I92" s="27">
        <v>-13.7</v>
      </c>
      <c r="J92" s="19"/>
      <c r="K92" s="27"/>
      <c r="L92" s="27"/>
      <c r="M92" s="30"/>
      <c r="N92" s="3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9.5" customHeight="1">
      <c r="A93" s="26">
        <v>45371.0</v>
      </c>
      <c r="B93" s="19"/>
      <c r="C93" s="27"/>
      <c r="D93" s="19"/>
      <c r="E93" s="27"/>
      <c r="F93" s="27">
        <v>-19.3</v>
      </c>
      <c r="G93" s="27">
        <v>-115.57</v>
      </c>
      <c r="H93" s="27">
        <v>-29.2</v>
      </c>
      <c r="I93" s="27">
        <v>-66.48</v>
      </c>
      <c r="J93" s="19"/>
      <c r="K93" s="27"/>
      <c r="L93" s="19"/>
      <c r="M93" s="30"/>
      <c r="N93" s="3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9.5" customHeight="1">
      <c r="A94" s="26">
        <v>45372.0</v>
      </c>
      <c r="B94" s="19"/>
      <c r="C94" s="27"/>
      <c r="D94" s="19"/>
      <c r="E94" s="27">
        <v>-776.29</v>
      </c>
      <c r="F94" s="27">
        <v>-6.99</v>
      </c>
      <c r="G94" s="27"/>
      <c r="H94" s="19">
        <f>-sum(6.94,49.38,13.29)</f>
        <v>-69.61</v>
      </c>
      <c r="I94" s="19"/>
      <c r="J94" s="19"/>
      <c r="K94" s="27">
        <v>-500.0</v>
      </c>
      <c r="L94" s="27"/>
      <c r="M94" s="30"/>
      <c r="N94" s="3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9.5" customHeight="1">
      <c r="A95" s="26">
        <v>45373.0</v>
      </c>
      <c r="B95" s="19"/>
      <c r="C95" s="27"/>
      <c r="D95" s="19"/>
      <c r="E95" s="27">
        <v>-50.0</v>
      </c>
      <c r="F95" s="27"/>
      <c r="G95" s="27"/>
      <c r="H95" s="27">
        <v>-33.48</v>
      </c>
      <c r="I95" s="19"/>
      <c r="J95" s="19"/>
      <c r="K95" s="19"/>
      <c r="L95" s="19"/>
      <c r="M95" s="30"/>
      <c r="N95" s="3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9.5" customHeight="1">
      <c r="A96" s="26">
        <v>45374.0</v>
      </c>
      <c r="B96" s="19"/>
      <c r="C96" s="27"/>
      <c r="D96" s="19"/>
      <c r="E96" s="27"/>
      <c r="F96" s="27">
        <v>-101.97</v>
      </c>
      <c r="G96" s="19"/>
      <c r="H96" s="19">
        <f>-sum(11.9,46.2)</f>
        <v>-58.1</v>
      </c>
      <c r="I96" s="27">
        <v>-50.5</v>
      </c>
      <c r="J96" s="19"/>
      <c r="K96" s="27"/>
      <c r="L96" s="19"/>
      <c r="M96" s="30"/>
      <c r="N96" s="3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9.5" customHeight="1">
      <c r="A97" s="26">
        <v>45375.0</v>
      </c>
      <c r="B97" s="19"/>
      <c r="C97" s="27"/>
      <c r="D97" s="19"/>
      <c r="E97" s="19"/>
      <c r="F97" s="27">
        <f>-sum(97.92,6,3,5)</f>
        <v>-111.92</v>
      </c>
      <c r="G97" s="27"/>
      <c r="H97" s="19"/>
      <c r="I97" s="27">
        <f>-sum(3)</f>
        <v>-3</v>
      </c>
      <c r="J97" s="19"/>
      <c r="K97" s="19"/>
      <c r="L97" s="27"/>
      <c r="M97" s="30"/>
      <c r="N97" s="3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9.5" customHeight="1">
      <c r="A98" s="26">
        <v>45376.0</v>
      </c>
      <c r="B98" s="19"/>
      <c r="C98" s="27"/>
      <c r="D98" s="19"/>
      <c r="E98" s="19"/>
      <c r="F98" s="27">
        <v>-111.7</v>
      </c>
      <c r="G98" s="27">
        <v>-10.2</v>
      </c>
      <c r="H98" s="27"/>
      <c r="I98" s="27">
        <f>-sum(21.4,13.9)</f>
        <v>-35.3</v>
      </c>
      <c r="J98" s="27"/>
      <c r="K98" s="19"/>
      <c r="L98" s="27">
        <v>-84.4</v>
      </c>
      <c r="M98" s="30"/>
      <c r="N98" s="3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9.5" customHeight="1">
      <c r="A99" s="26">
        <v>45377.0</v>
      </c>
      <c r="B99" s="19"/>
      <c r="C99" s="27"/>
      <c r="D99" s="19"/>
      <c r="E99" s="27">
        <v>-1576.83</v>
      </c>
      <c r="F99" s="27"/>
      <c r="G99" s="27">
        <v>-64.99</v>
      </c>
      <c r="H99" s="19">
        <f>-sum(3.77,26.61,6.55,9.77)</f>
        <v>-46.7</v>
      </c>
      <c r="I99" s="27"/>
      <c r="J99" s="27"/>
      <c r="K99" s="19"/>
      <c r="L99" s="19"/>
      <c r="M99" s="30"/>
      <c r="N99" s="3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9.5" customHeight="1">
      <c r="A100" s="26">
        <v>45378.0</v>
      </c>
      <c r="B100" s="19"/>
      <c r="C100" s="27"/>
      <c r="D100" s="19"/>
      <c r="E100" s="27">
        <v>-20.0</v>
      </c>
      <c r="F100" s="27"/>
      <c r="G100" s="27"/>
      <c r="H100" s="19">
        <f>-sum(22.2,97.72,32.85)</f>
        <v>-152.77</v>
      </c>
      <c r="I100" s="27"/>
      <c r="J100" s="19"/>
      <c r="K100" s="19"/>
      <c r="L100" s="19"/>
      <c r="M100" s="30"/>
      <c r="N100" s="3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9.5" customHeight="1">
      <c r="A101" s="26">
        <v>45379.0</v>
      </c>
      <c r="B101" s="19"/>
      <c r="C101" s="27"/>
      <c r="D101" s="19"/>
      <c r="E101" s="19"/>
      <c r="F101" s="27"/>
      <c r="G101" s="27">
        <v>-48.3</v>
      </c>
      <c r="H101" s="27">
        <f>-sum(26,5.11,2.85,22.91,5.94,11.77)</f>
        <v>-74.58</v>
      </c>
      <c r="I101" s="19"/>
      <c r="J101" s="19"/>
      <c r="K101" s="19"/>
      <c r="L101" s="27"/>
      <c r="M101" s="30"/>
      <c r="N101" s="3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9.5" customHeight="1">
      <c r="A102" s="26">
        <v>45380.0</v>
      </c>
      <c r="B102" s="19"/>
      <c r="C102" s="27"/>
      <c r="D102" s="19"/>
      <c r="E102" s="19"/>
      <c r="F102" s="27">
        <f>-sum(99.2,38.46,-53.9)</f>
        <v>-83.76</v>
      </c>
      <c r="G102" s="27"/>
      <c r="H102" s="19"/>
      <c r="I102" s="27"/>
      <c r="J102" s="19"/>
      <c r="K102" s="19"/>
      <c r="L102" s="19"/>
      <c r="M102" s="30"/>
      <c r="N102" s="3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9.5" customHeight="1">
      <c r="A103" s="26">
        <v>45381.0</v>
      </c>
      <c r="B103" s="19"/>
      <c r="C103" s="27"/>
      <c r="D103" s="19"/>
      <c r="E103" s="19"/>
      <c r="F103" s="27"/>
      <c r="G103" s="27"/>
      <c r="H103" s="27">
        <v>-1.79</v>
      </c>
      <c r="I103" s="27">
        <f>-sum(20,15,12.22,6.26)</f>
        <v>-53.48</v>
      </c>
      <c r="J103" s="19"/>
      <c r="K103" s="19"/>
      <c r="L103" s="19"/>
      <c r="M103" s="30"/>
      <c r="N103" s="3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9.5" customHeight="1">
      <c r="A104" s="26">
        <v>45382.0</v>
      </c>
      <c r="B104" s="19"/>
      <c r="C104" s="27"/>
      <c r="D104" s="19"/>
      <c r="E104" s="27"/>
      <c r="F104" s="27"/>
      <c r="G104" s="27">
        <v>-20.7</v>
      </c>
      <c r="H104" s="19">
        <f>-sum(3.07,3.52,7.9)</f>
        <v>-14.49</v>
      </c>
      <c r="I104" s="27">
        <v>-12.8</v>
      </c>
      <c r="J104" s="19"/>
      <c r="K104" s="19"/>
      <c r="L104" s="27"/>
      <c r="M104" s="30"/>
      <c r="N104" s="3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9.5" customHeight="1">
      <c r="A105" s="26">
        <v>45383.0</v>
      </c>
      <c r="B105" s="19"/>
      <c r="C105" s="27"/>
      <c r="D105" s="19"/>
      <c r="E105" s="27"/>
      <c r="F105" s="27"/>
      <c r="G105" s="27">
        <v>-9.99</v>
      </c>
      <c r="H105" s="19"/>
      <c r="I105" s="27"/>
      <c r="J105" s="19"/>
      <c r="K105" s="19"/>
      <c r="L105" s="27"/>
      <c r="M105" s="30"/>
      <c r="N105" s="3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9.5" customHeight="1">
      <c r="A106" s="26">
        <v>45384.0</v>
      </c>
      <c r="B106" s="19"/>
      <c r="C106" s="27"/>
      <c r="D106" s="19"/>
      <c r="E106" s="19"/>
      <c r="F106" s="27">
        <f>-sum(120.59,15)</f>
        <v>-135.59</v>
      </c>
      <c r="G106" s="19"/>
      <c r="H106" s="19">
        <f>-sum(18.1,12,8.02,26.38)</f>
        <v>-64.5</v>
      </c>
      <c r="I106" s="27">
        <f>-sum(19,3)</f>
        <v>-22</v>
      </c>
      <c r="J106" s="19"/>
      <c r="K106" s="19"/>
      <c r="L106" s="27">
        <v>-84.4</v>
      </c>
      <c r="M106" s="30"/>
      <c r="N106" s="3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9.5" customHeight="1">
      <c r="A107" s="26">
        <v>45385.0</v>
      </c>
      <c r="B107" s="19"/>
      <c r="C107" s="27"/>
      <c r="D107" s="19"/>
      <c r="E107" s="27"/>
      <c r="F107" s="27"/>
      <c r="G107" s="27"/>
      <c r="H107" s="19"/>
      <c r="I107" s="27"/>
      <c r="J107" s="19"/>
      <c r="K107" s="27"/>
      <c r="L107" s="19"/>
      <c r="M107" s="30"/>
      <c r="N107" s="3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9.5" customHeight="1">
      <c r="A108" s="26">
        <v>45386.0</v>
      </c>
      <c r="B108" s="19"/>
      <c r="C108" s="27"/>
      <c r="D108" s="19"/>
      <c r="E108" s="19"/>
      <c r="F108" s="27">
        <v>-15.25</v>
      </c>
      <c r="G108" s="27"/>
      <c r="H108" s="19">
        <f>-sum(4.8,18.99)</f>
        <v>-23.79</v>
      </c>
      <c r="I108" s="19"/>
      <c r="J108" s="19"/>
      <c r="K108" s="19"/>
      <c r="L108" s="19"/>
      <c r="M108" s="30"/>
      <c r="N108" s="3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9.5" customHeight="1">
      <c r="A109" s="26">
        <v>45387.0</v>
      </c>
      <c r="B109" s="19"/>
      <c r="C109" s="27"/>
      <c r="D109" s="19"/>
      <c r="E109" s="19"/>
      <c r="F109" s="27">
        <f>-sum(16.99,12.21)</f>
        <v>-29.2</v>
      </c>
      <c r="G109" s="27">
        <v>-29.17</v>
      </c>
      <c r="H109" s="27"/>
      <c r="I109" s="27"/>
      <c r="J109" s="19"/>
      <c r="K109" s="27">
        <v>-500.0</v>
      </c>
      <c r="L109" s="27">
        <v>-84.4</v>
      </c>
      <c r="M109" s="30"/>
      <c r="N109" s="3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9.5" customHeight="1">
      <c r="A110" s="26">
        <v>45388.0</v>
      </c>
      <c r="B110" s="19"/>
      <c r="C110" s="27"/>
      <c r="D110" s="19"/>
      <c r="E110" s="19"/>
      <c r="F110" s="27">
        <v>-14.99</v>
      </c>
      <c r="G110" s="27"/>
      <c r="H110" s="19"/>
      <c r="I110" s="27"/>
      <c r="J110" s="19"/>
      <c r="K110" s="19"/>
      <c r="L110" s="19"/>
      <c r="M110" s="30"/>
      <c r="N110" s="3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9.5" customHeight="1">
      <c r="A111" s="26">
        <v>45389.0</v>
      </c>
      <c r="B111" s="19"/>
      <c r="C111" s="27"/>
      <c r="D111" s="19"/>
      <c r="E111" s="27"/>
      <c r="F111" s="27">
        <v>-47.0</v>
      </c>
      <c r="G111" s="27"/>
      <c r="H111" s="27">
        <f>-sum(62.57,55.94)</f>
        <v>-118.51</v>
      </c>
      <c r="I111" s="27">
        <f>-sum(40.6,3.43)</f>
        <v>-44.03</v>
      </c>
      <c r="J111" s="19"/>
      <c r="K111" s="19"/>
      <c r="L111" s="19"/>
      <c r="M111" s="30"/>
      <c r="N111" s="3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9.5" customHeight="1">
      <c r="A112" s="26">
        <v>45390.0</v>
      </c>
      <c r="B112" s="19"/>
      <c r="C112" s="27"/>
      <c r="D112" s="19"/>
      <c r="E112" s="19"/>
      <c r="F112" s="27">
        <f>-sum(111.7,9,10.9)</f>
        <v>-131.6</v>
      </c>
      <c r="G112" s="27">
        <v>-48.18</v>
      </c>
      <c r="H112" s="27"/>
      <c r="I112" s="19"/>
      <c r="J112" s="19"/>
      <c r="K112" s="19">
        <f>-sum(1385,756)</f>
        <v>-2141</v>
      </c>
      <c r="L112" s="27"/>
      <c r="M112" s="30"/>
      <c r="N112" s="3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9.5" customHeight="1">
      <c r="A113" s="26">
        <v>45391.0</v>
      </c>
      <c r="B113" s="19"/>
      <c r="C113" s="27"/>
      <c r="D113" s="19"/>
      <c r="E113" s="27"/>
      <c r="F113" s="27">
        <v>13.96</v>
      </c>
      <c r="G113" s="27">
        <v>-149.16</v>
      </c>
      <c r="H113" s="27">
        <f>-sum(5.06,6.39,10,7)</f>
        <v>-28.45</v>
      </c>
      <c r="I113" s="27"/>
      <c r="J113" s="19"/>
      <c r="K113" s="19"/>
      <c r="L113" s="19"/>
      <c r="M113" s="30"/>
      <c r="N113" s="3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9.5" customHeight="1">
      <c r="A114" s="26">
        <v>45392.0</v>
      </c>
      <c r="B114" s="19"/>
      <c r="C114" s="27"/>
      <c r="D114" s="19"/>
      <c r="E114" s="27"/>
      <c r="F114" s="27"/>
      <c r="G114" s="27"/>
      <c r="H114" s="19"/>
      <c r="I114" s="29">
        <v>-36.54</v>
      </c>
      <c r="J114" s="19"/>
      <c r="K114" s="19"/>
      <c r="L114" s="19"/>
      <c r="M114" s="30"/>
      <c r="N114" s="3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9.5" customHeight="1">
      <c r="A115" s="26">
        <v>45393.0</v>
      </c>
      <c r="B115" s="19"/>
      <c r="C115" s="27"/>
      <c r="D115" s="19"/>
      <c r="E115" s="27"/>
      <c r="F115" s="27"/>
      <c r="G115" s="27">
        <f>-sum(48.3,13.8)</f>
        <v>-62.1</v>
      </c>
      <c r="H115" s="19">
        <f>-sum(3.55,2.99,35.8,-4)</f>
        <v>-38.34</v>
      </c>
      <c r="I115" s="27">
        <v>-21.0</v>
      </c>
      <c r="J115" s="19"/>
      <c r="K115" s="19"/>
      <c r="L115" s="19"/>
      <c r="M115" s="30"/>
      <c r="N115" s="3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9.5" customHeight="1">
      <c r="A116" s="26">
        <v>45394.0</v>
      </c>
      <c r="B116" s="19"/>
      <c r="C116" s="27"/>
      <c r="D116" s="19"/>
      <c r="E116" s="27"/>
      <c r="F116" s="27">
        <v>-276.0</v>
      </c>
      <c r="G116" s="27"/>
      <c r="H116" s="27">
        <v>-183.93</v>
      </c>
      <c r="I116" s="27">
        <v>-53.76</v>
      </c>
      <c r="J116" s="19"/>
      <c r="K116" s="19"/>
      <c r="L116" s="27">
        <v>-84.4</v>
      </c>
      <c r="M116" s="30"/>
      <c r="N116" s="3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9.5" customHeight="1">
      <c r="A117" s="26">
        <v>45395.0</v>
      </c>
      <c r="B117" s="19"/>
      <c r="C117" s="27"/>
      <c r="D117" s="19"/>
      <c r="E117" s="27"/>
      <c r="F117" s="27">
        <v>-50.0</v>
      </c>
      <c r="G117" s="27">
        <v>-4.49</v>
      </c>
      <c r="H117" s="27"/>
      <c r="I117" s="27">
        <f>-sum(6.9,56.73)</f>
        <v>-63.63</v>
      </c>
      <c r="J117" s="19"/>
      <c r="K117" s="27"/>
      <c r="L117" s="19"/>
      <c r="M117" s="30"/>
      <c r="N117" s="3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9.5" customHeight="1">
      <c r="A118" s="26">
        <v>45396.0</v>
      </c>
      <c r="B118" s="19"/>
      <c r="C118" s="27"/>
      <c r="D118" s="19"/>
      <c r="E118" s="27"/>
      <c r="F118" s="27"/>
      <c r="G118" s="27"/>
      <c r="H118" s="27"/>
      <c r="I118" s="19"/>
      <c r="J118" s="19"/>
      <c r="K118" s="27"/>
      <c r="L118" s="19"/>
      <c r="M118" s="30"/>
      <c r="N118" s="3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9.5" customHeight="1">
      <c r="A119" s="26">
        <v>45397.0</v>
      </c>
      <c r="B119" s="19"/>
      <c r="C119" s="27"/>
      <c r="D119" s="19"/>
      <c r="E119" s="27"/>
      <c r="F119" s="27"/>
      <c r="G119" s="27">
        <v>-35.13</v>
      </c>
      <c r="H119" s="27">
        <v>-26.85</v>
      </c>
      <c r="I119" s="19"/>
      <c r="J119" s="19"/>
      <c r="K119" s="27"/>
      <c r="L119" s="19"/>
      <c r="M119" s="30"/>
      <c r="N119" s="3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9.5" customHeight="1">
      <c r="A120" s="26">
        <v>45398.0</v>
      </c>
      <c r="B120" s="19"/>
      <c r="C120" s="27"/>
      <c r="D120" s="19"/>
      <c r="E120" s="27"/>
      <c r="F120" s="27">
        <v>-65.0</v>
      </c>
      <c r="G120" s="27"/>
      <c r="H120" s="27"/>
      <c r="I120" s="27"/>
      <c r="J120" s="19"/>
      <c r="K120" s="19"/>
      <c r="L120" s="19"/>
      <c r="M120" s="30"/>
      <c r="N120" s="3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9.5" customHeight="1">
      <c r="A121" s="26">
        <v>45399.0</v>
      </c>
      <c r="B121" s="19"/>
      <c r="C121" s="27"/>
      <c r="D121" s="19"/>
      <c r="E121" s="27">
        <v>-65.13</v>
      </c>
      <c r="F121" s="27">
        <f>-sum(2.59,5.45)</f>
        <v>-8.04</v>
      </c>
      <c r="G121" s="27">
        <v>-34.4</v>
      </c>
      <c r="H121" s="27"/>
      <c r="I121" s="19"/>
      <c r="J121" s="19"/>
      <c r="K121" s="19"/>
      <c r="L121" s="19"/>
      <c r="M121" s="30"/>
      <c r="N121" s="3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9.5" customHeight="1">
      <c r="A122" s="26">
        <v>45400.0</v>
      </c>
      <c r="B122" s="19"/>
      <c r="C122" s="27"/>
      <c r="D122" s="19"/>
      <c r="E122" s="27"/>
      <c r="F122" s="27"/>
      <c r="G122" s="27">
        <v>-97.0</v>
      </c>
      <c r="H122" s="27">
        <f>-sum(6.35,25.77,40.24,41.98)</f>
        <v>-114.34</v>
      </c>
      <c r="I122" s="27">
        <v>-7.47</v>
      </c>
      <c r="J122" s="19"/>
      <c r="K122" s="19"/>
      <c r="L122" s="19"/>
      <c r="M122" s="30"/>
      <c r="N122" s="3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9.5" customHeight="1">
      <c r="A123" s="26">
        <v>45401.0</v>
      </c>
      <c r="B123" s="19"/>
      <c r="C123" s="27"/>
      <c r="D123" s="19"/>
      <c r="E123" s="19"/>
      <c r="F123" s="27"/>
      <c r="G123" s="27">
        <v>-1.03</v>
      </c>
      <c r="H123" s="27">
        <v>-8.75</v>
      </c>
      <c r="I123" s="19"/>
      <c r="J123" s="19"/>
      <c r="K123" s="27"/>
      <c r="L123" s="27">
        <v>-84.4</v>
      </c>
      <c r="M123" s="30"/>
      <c r="N123" s="3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9.5" customHeight="1">
      <c r="A124" s="26">
        <v>45402.0</v>
      </c>
      <c r="B124" s="19"/>
      <c r="C124" s="27"/>
      <c r="D124" s="19"/>
      <c r="E124" s="27"/>
      <c r="F124" s="27"/>
      <c r="G124" s="27"/>
      <c r="H124" s="27">
        <f>-sum(27.45,6.73,57.44)</f>
        <v>-91.62</v>
      </c>
      <c r="I124" s="27">
        <v>-35.12</v>
      </c>
      <c r="J124" s="19"/>
      <c r="K124" s="19"/>
      <c r="L124" s="19"/>
      <c r="M124" s="30"/>
      <c r="N124" s="3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9.5" customHeight="1">
      <c r="A125" s="26">
        <v>45403.0</v>
      </c>
      <c r="B125" s="19"/>
      <c r="C125" s="27"/>
      <c r="D125" s="19"/>
      <c r="E125" s="19"/>
      <c r="F125" s="27"/>
      <c r="G125" s="27"/>
      <c r="H125" s="27">
        <f>-sum(28.62,42.55)</f>
        <v>-71.17</v>
      </c>
      <c r="I125" s="19"/>
      <c r="J125" s="19"/>
      <c r="K125" s="19"/>
      <c r="L125" s="19"/>
      <c r="M125" s="30"/>
      <c r="N125" s="3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9.5" customHeight="1">
      <c r="A126" s="26">
        <v>45404.0</v>
      </c>
      <c r="B126" s="19"/>
      <c r="C126" s="27"/>
      <c r="D126" s="19"/>
      <c r="E126" s="19"/>
      <c r="F126" s="27"/>
      <c r="G126" s="27">
        <v>-10.2</v>
      </c>
      <c r="H126" s="27">
        <v>-1.59</v>
      </c>
      <c r="I126" s="27"/>
      <c r="J126" s="19"/>
      <c r="K126" s="19"/>
      <c r="L126" s="27"/>
      <c r="M126" s="30"/>
      <c r="N126" s="3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9.5" customHeight="1">
      <c r="A127" s="26">
        <v>45405.0</v>
      </c>
      <c r="B127" s="19"/>
      <c r="C127" s="27"/>
      <c r="D127" s="19"/>
      <c r="E127" s="19"/>
      <c r="F127" s="27"/>
      <c r="G127" s="27">
        <v>-64.99</v>
      </c>
      <c r="H127" s="27">
        <v>-12.5</v>
      </c>
      <c r="I127" s="27"/>
      <c r="J127" s="19"/>
      <c r="K127" s="27"/>
      <c r="L127" s="27"/>
      <c r="M127" s="30"/>
      <c r="N127" s="3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9.5" customHeight="1">
      <c r="A128" s="26">
        <v>45406.0</v>
      </c>
      <c r="B128" s="19"/>
      <c r="C128" s="27"/>
      <c r="D128" s="19"/>
      <c r="E128" s="19"/>
      <c r="F128" s="27"/>
      <c r="G128" s="27">
        <v>-185.0</v>
      </c>
      <c r="H128" s="27">
        <f>-sum(84.48,11.39)</f>
        <v>-95.87</v>
      </c>
      <c r="I128" s="27">
        <v>-62.0</v>
      </c>
      <c r="J128" s="19"/>
      <c r="K128" s="27"/>
      <c r="L128" s="27"/>
      <c r="M128" s="30"/>
      <c r="N128" s="3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9.5" customHeight="1">
      <c r="A129" s="26">
        <v>45407.0</v>
      </c>
      <c r="B129" s="19"/>
      <c r="C129" s="27"/>
      <c r="D129" s="19"/>
      <c r="E129" s="27"/>
      <c r="F129" s="27"/>
      <c r="G129" s="27">
        <v>-48.3</v>
      </c>
      <c r="H129" s="27"/>
      <c r="I129" s="27"/>
      <c r="J129" s="19"/>
      <c r="K129" s="19"/>
      <c r="L129" s="27"/>
      <c r="M129" s="30"/>
      <c r="N129" s="3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9.5" customHeight="1">
      <c r="A130" s="26">
        <v>45408.0</v>
      </c>
      <c r="B130" s="19"/>
      <c r="C130" s="27"/>
      <c r="D130" s="19"/>
      <c r="E130" s="27"/>
      <c r="F130" s="27"/>
      <c r="G130" s="27"/>
      <c r="H130" s="27">
        <f>-sum(4,9.51,39.55,7.15)</f>
        <v>-60.21</v>
      </c>
      <c r="I130" s="27">
        <v>-4.0</v>
      </c>
      <c r="J130" s="19"/>
      <c r="K130" s="19"/>
      <c r="L130" s="27"/>
      <c r="M130" s="30"/>
      <c r="N130" s="3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9.5" customHeight="1">
      <c r="A131" s="26">
        <v>45409.0</v>
      </c>
      <c r="B131" s="19"/>
      <c r="C131" s="27"/>
      <c r="D131" s="19"/>
      <c r="E131" s="27"/>
      <c r="F131" s="27"/>
      <c r="G131" s="27"/>
      <c r="H131" s="27">
        <v>-9.0</v>
      </c>
      <c r="I131" s="27">
        <v>-75.35</v>
      </c>
      <c r="J131" s="19"/>
      <c r="K131" s="27"/>
      <c r="L131" s="19"/>
      <c r="M131" s="30"/>
      <c r="N131" s="3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9.5" customHeight="1">
      <c r="A132" s="26">
        <v>45410.0</v>
      </c>
      <c r="B132" s="19"/>
      <c r="C132" s="27"/>
      <c r="D132" s="19"/>
      <c r="E132" s="27"/>
      <c r="F132" s="27">
        <f>-Sum(4.5,60.49)</f>
        <v>-64.99</v>
      </c>
      <c r="G132" s="19"/>
      <c r="H132" s="27">
        <f>-sum(12.27,6)</f>
        <v>-18.27</v>
      </c>
      <c r="I132" s="19"/>
      <c r="J132" s="19"/>
      <c r="K132" s="19"/>
      <c r="L132" s="27"/>
      <c r="M132" s="30"/>
      <c r="N132" s="3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9.5" customHeight="1">
      <c r="A133" s="26">
        <v>45411.0</v>
      </c>
      <c r="B133" s="19"/>
      <c r="C133" s="27"/>
      <c r="D133" s="19"/>
      <c r="E133" s="19"/>
      <c r="F133" s="27"/>
      <c r="G133" s="27">
        <v>-35.13</v>
      </c>
      <c r="H133" s="27">
        <f>-Sum(9.9,18.95)</f>
        <v>-28.85</v>
      </c>
      <c r="I133" s="27"/>
      <c r="J133" s="19"/>
      <c r="K133" s="19"/>
      <c r="L133" s="27"/>
      <c r="M133" s="30"/>
      <c r="N133" s="3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9.5" customHeight="1">
      <c r="A134" s="26">
        <v>45412.0</v>
      </c>
      <c r="B134" s="19"/>
      <c r="C134" s="27"/>
      <c r="D134" s="19"/>
      <c r="E134" s="19"/>
      <c r="F134" s="19"/>
      <c r="G134" s="27">
        <v>-245.68</v>
      </c>
      <c r="H134" s="27">
        <f>-sum(14.1,62.4,7.5,7.47,6.5)</f>
        <v>-97.97</v>
      </c>
      <c r="I134" s="27"/>
      <c r="J134" s="19"/>
      <c r="K134" s="19"/>
      <c r="L134" s="27"/>
      <c r="M134" s="30"/>
      <c r="N134" s="3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9.5" customHeight="1">
      <c r="A135" s="26">
        <v>45413.0</v>
      </c>
      <c r="B135" s="19"/>
      <c r="C135" s="27"/>
      <c r="D135" s="19"/>
      <c r="E135" s="27"/>
      <c r="F135" s="27"/>
      <c r="G135" s="27">
        <v>-9.99</v>
      </c>
      <c r="H135" s="27"/>
      <c r="I135" s="27"/>
      <c r="J135" s="19"/>
      <c r="K135" s="19"/>
      <c r="L135" s="27"/>
      <c r="M135" s="30"/>
      <c r="N135" s="3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9.5" customHeight="1">
      <c r="A136" s="26">
        <v>45414.0</v>
      </c>
      <c r="B136" s="19"/>
      <c r="C136" s="27"/>
      <c r="D136" s="19"/>
      <c r="E136" s="19"/>
      <c r="F136" s="27">
        <v>-6.0</v>
      </c>
      <c r="G136" s="27"/>
      <c r="H136" s="19"/>
      <c r="I136" s="27"/>
      <c r="J136" s="19"/>
      <c r="K136" s="19"/>
      <c r="L136" s="27"/>
      <c r="M136" s="30"/>
      <c r="N136" s="3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9.5" customHeight="1">
      <c r="A137" s="26">
        <v>45415.0</v>
      </c>
      <c r="B137" s="19"/>
      <c r="C137" s="27"/>
      <c r="D137" s="19"/>
      <c r="E137" s="27">
        <v>-20.0</v>
      </c>
      <c r="F137" s="27"/>
      <c r="G137" s="27"/>
      <c r="H137" s="19"/>
      <c r="I137" s="27">
        <f>-sum(12.44,13.2)</f>
        <v>-25.64</v>
      </c>
      <c r="J137" s="19"/>
      <c r="K137" s="27"/>
      <c r="L137" s="27">
        <v>-84.4</v>
      </c>
      <c r="M137" s="30"/>
      <c r="N137" s="3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9.5" customHeight="1">
      <c r="A138" s="26">
        <v>45416.0</v>
      </c>
      <c r="B138" s="19"/>
      <c r="C138" s="27"/>
      <c r="D138" s="19"/>
      <c r="E138" s="27"/>
      <c r="F138" s="27"/>
      <c r="G138" s="27"/>
      <c r="H138" s="19"/>
      <c r="I138" s="27"/>
      <c r="J138" s="19"/>
      <c r="K138" s="19"/>
      <c r="L138" s="19"/>
      <c r="M138" s="30"/>
      <c r="N138" s="3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9.5" customHeight="1">
      <c r="A139" s="26">
        <v>45417.0</v>
      </c>
      <c r="B139" s="19"/>
      <c r="C139" s="27"/>
      <c r="D139" s="19"/>
      <c r="E139" s="19"/>
      <c r="F139" s="19"/>
      <c r="G139" s="27"/>
      <c r="H139" s="27">
        <v>-140.35</v>
      </c>
      <c r="I139" s="27">
        <v>-15.9</v>
      </c>
      <c r="J139" s="19"/>
      <c r="K139" s="19"/>
      <c r="L139" s="27"/>
      <c r="M139" s="30"/>
      <c r="N139" s="3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9.5" customHeight="1">
      <c r="A140" s="26">
        <v>45418.0</v>
      </c>
      <c r="B140" s="19"/>
      <c r="C140" s="27"/>
      <c r="D140" s="19"/>
      <c r="E140" s="19"/>
      <c r="F140" s="27">
        <f>-sum(6,800)</f>
        <v>-806</v>
      </c>
      <c r="G140" s="27"/>
      <c r="H140" s="27"/>
      <c r="I140" s="19"/>
      <c r="J140" s="19"/>
      <c r="K140" s="19">
        <f>-sum(1385,756)</f>
        <v>-2141</v>
      </c>
      <c r="L140" s="27"/>
      <c r="M140" s="30"/>
      <c r="N140" s="3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9.5" customHeight="1">
      <c r="A141" s="26">
        <v>45419.0</v>
      </c>
      <c r="B141" s="19"/>
      <c r="C141" s="27"/>
      <c r="D141" s="19"/>
      <c r="E141" s="19"/>
      <c r="F141" s="27">
        <v>-2.0</v>
      </c>
      <c r="G141" s="19">
        <f>-sum(65.73,29.17)</f>
        <v>-94.9</v>
      </c>
      <c r="H141" s="27"/>
      <c r="I141" s="19"/>
      <c r="J141" s="19"/>
      <c r="K141" s="27"/>
      <c r="L141" s="19"/>
      <c r="M141" s="30"/>
      <c r="N141" s="3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9.5" customHeight="1">
      <c r="A142" s="26">
        <v>45420.0</v>
      </c>
      <c r="B142" s="19"/>
      <c r="C142" s="27"/>
      <c r="D142" s="19"/>
      <c r="E142" s="19"/>
      <c r="F142" s="27"/>
      <c r="G142" s="27"/>
      <c r="H142" s="27">
        <v>-5.0</v>
      </c>
      <c r="I142" s="27"/>
      <c r="J142" s="19"/>
      <c r="K142" s="19"/>
      <c r="L142" s="19"/>
      <c r="M142" s="30"/>
      <c r="N142" s="3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9.5" customHeight="1">
      <c r="A143" s="26">
        <v>45421.0</v>
      </c>
      <c r="B143" s="19"/>
      <c r="C143" s="27"/>
      <c r="D143" s="19"/>
      <c r="E143" s="27"/>
      <c r="F143" s="27"/>
      <c r="G143" s="27">
        <v>-82.61</v>
      </c>
      <c r="H143" s="19">
        <f>-sum(9.95,37.65,27.7,-4)</f>
        <v>-71.3</v>
      </c>
      <c r="I143" s="19"/>
      <c r="J143" s="19"/>
      <c r="K143" s="19"/>
      <c r="L143" s="27"/>
      <c r="M143" s="30"/>
      <c r="N143" s="3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9.5" customHeight="1">
      <c r="A144" s="26">
        <v>45422.0</v>
      </c>
      <c r="B144" s="19"/>
      <c r="C144" s="27"/>
      <c r="D144" s="19"/>
      <c r="E144" s="27"/>
      <c r="F144" s="27">
        <v>-109.0</v>
      </c>
      <c r="G144" s="27"/>
      <c r="H144" s="27">
        <v>-8.0</v>
      </c>
      <c r="I144" s="27">
        <v>-10.5</v>
      </c>
      <c r="J144" s="19"/>
      <c r="K144" s="27"/>
      <c r="L144" s="27">
        <v>-84.4</v>
      </c>
      <c r="M144" s="30"/>
      <c r="N144" s="3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9.5" customHeight="1">
      <c r="A145" s="26">
        <v>45423.0</v>
      </c>
      <c r="B145" s="19"/>
      <c r="C145" s="27"/>
      <c r="D145" s="19"/>
      <c r="E145" s="27"/>
      <c r="F145" s="27"/>
      <c r="G145" s="19"/>
      <c r="H145" s="27"/>
      <c r="I145" s="27">
        <v>-45.42</v>
      </c>
      <c r="J145" s="19"/>
      <c r="K145" s="19"/>
      <c r="L145" s="27"/>
      <c r="M145" s="30"/>
      <c r="N145" s="3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9.5" customHeight="1">
      <c r="A146" s="26">
        <v>45424.0</v>
      </c>
      <c r="B146" s="19"/>
      <c r="C146" s="27"/>
      <c r="D146" s="19"/>
      <c r="E146" s="19"/>
      <c r="F146" s="27">
        <v>-750.0</v>
      </c>
      <c r="G146" s="19"/>
      <c r="H146" s="27">
        <f>-sum(47.8,4.5,7.5,14.3)</f>
        <v>-74.1</v>
      </c>
      <c r="I146" s="27">
        <v>-33.5</v>
      </c>
      <c r="J146" s="19"/>
      <c r="K146" s="19"/>
      <c r="L146" s="27"/>
      <c r="M146" s="30"/>
      <c r="N146" s="3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9.5" customHeight="1">
      <c r="A147" s="26">
        <v>45425.0</v>
      </c>
      <c r="B147" s="19"/>
      <c r="C147" s="27"/>
      <c r="D147" s="19"/>
      <c r="E147" s="27"/>
      <c r="F147" s="27">
        <v>-6.0</v>
      </c>
      <c r="G147" s="27">
        <f>-sum(35.13,4.49)</f>
        <v>-39.62</v>
      </c>
      <c r="H147" s="19"/>
      <c r="I147" s="27"/>
      <c r="J147" s="19"/>
      <c r="K147" s="19"/>
      <c r="L147" s="27"/>
      <c r="M147" s="30"/>
      <c r="N147" s="3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9.5" customHeight="1">
      <c r="A148" s="26">
        <v>45426.0</v>
      </c>
      <c r="B148" s="19"/>
      <c r="C148" s="27"/>
      <c r="D148" s="19"/>
      <c r="E148" s="27"/>
      <c r="F148" s="27"/>
      <c r="G148" s="27"/>
      <c r="H148" s="27">
        <v>-18.0</v>
      </c>
      <c r="I148" s="19"/>
      <c r="J148" s="19"/>
      <c r="K148" s="19"/>
      <c r="L148" s="19"/>
      <c r="M148" s="30"/>
      <c r="N148" s="3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9.5" customHeight="1">
      <c r="A149" s="26">
        <v>45427.0</v>
      </c>
      <c r="B149" s="19"/>
      <c r="C149" s="27"/>
      <c r="D149" s="19"/>
      <c r="E149" s="27"/>
      <c r="F149" s="27">
        <v>-12.12</v>
      </c>
      <c r="G149" s="19"/>
      <c r="H149" s="27">
        <f>-Sum(39,26.21)</f>
        <v>-65.21</v>
      </c>
      <c r="I149" s="27">
        <f>-sum(26.5,3)</f>
        <v>-29.5</v>
      </c>
      <c r="J149" s="19"/>
      <c r="K149" s="19"/>
      <c r="L149" s="19"/>
      <c r="M149" s="30"/>
      <c r="N149" s="3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9.5" customHeight="1">
      <c r="A150" s="26">
        <v>45428.0</v>
      </c>
      <c r="B150" s="19"/>
      <c r="C150" s="27"/>
      <c r="D150" s="19"/>
      <c r="E150" s="19"/>
      <c r="F150" s="27">
        <f>-sum(5.5,15.25)</f>
        <v>-20.75</v>
      </c>
      <c r="G150" s="27"/>
      <c r="H150" s="19"/>
      <c r="I150" s="19"/>
      <c r="J150" s="19"/>
      <c r="K150" s="27">
        <v>-500.0</v>
      </c>
      <c r="L150" s="27"/>
      <c r="M150" s="30"/>
      <c r="N150" s="3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9.5" customHeight="1">
      <c r="A151" s="26">
        <v>45429.0</v>
      </c>
      <c r="B151" s="19"/>
      <c r="C151" s="27"/>
      <c r="D151" s="19"/>
      <c r="E151" s="19"/>
      <c r="F151" s="27">
        <v>-15.0</v>
      </c>
      <c r="G151" s="27">
        <v>-33.07</v>
      </c>
      <c r="H151" s="27">
        <f>-sum(21.8,18.45,1.69,27)</f>
        <v>-68.94</v>
      </c>
      <c r="I151" s="27">
        <v>-40.6</v>
      </c>
      <c r="J151" s="19"/>
      <c r="K151" s="19"/>
      <c r="L151" s="19"/>
      <c r="M151" s="30"/>
      <c r="N151" s="3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9.5" customHeight="1">
      <c r="A152" s="26">
        <v>45430.0</v>
      </c>
      <c r="B152" s="19"/>
      <c r="C152" s="27"/>
      <c r="D152" s="19"/>
      <c r="E152" s="27"/>
      <c r="F152" s="27">
        <f>-sum(15,11,-32.5)</f>
        <v>6.5</v>
      </c>
      <c r="G152" s="19"/>
      <c r="H152" s="19">
        <f>-sum(112.8,170.9,4.05)</f>
        <v>-287.75</v>
      </c>
      <c r="I152" s="27">
        <f>-sum(36.1,40.6)</f>
        <v>-76.7</v>
      </c>
      <c r="J152" s="19"/>
      <c r="K152" s="27"/>
      <c r="L152" s="27">
        <v>-84.4</v>
      </c>
      <c r="M152" s="30"/>
      <c r="N152" s="3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9.5" customHeight="1">
      <c r="A153" s="26">
        <v>45431.0</v>
      </c>
      <c r="B153" s="19"/>
      <c r="C153" s="27"/>
      <c r="D153" s="19"/>
      <c r="E153" s="27"/>
      <c r="F153" s="27">
        <f>-sum(45,10,6)</f>
        <v>-61</v>
      </c>
      <c r="G153" s="19"/>
      <c r="H153" s="27"/>
      <c r="I153" s="27"/>
      <c r="J153" s="19"/>
      <c r="K153" s="19"/>
      <c r="L153" s="27"/>
      <c r="M153" s="30"/>
      <c r="N153" s="3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9.5" customHeight="1">
      <c r="A154" s="26">
        <v>45432.0</v>
      </c>
      <c r="B154" s="19"/>
      <c r="C154" s="27"/>
      <c r="D154" s="19"/>
      <c r="E154" s="27">
        <v>-5.58</v>
      </c>
      <c r="F154" s="27"/>
      <c r="G154" s="27">
        <v>-0.99</v>
      </c>
      <c r="H154" s="27"/>
      <c r="I154" s="27">
        <v>-10.95</v>
      </c>
      <c r="J154" s="19"/>
      <c r="K154" s="19"/>
      <c r="L154" s="27"/>
      <c r="M154" s="30"/>
      <c r="N154" s="3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9.5" customHeight="1">
      <c r="A155" s="26">
        <v>45433.0</v>
      </c>
      <c r="B155" s="19"/>
      <c r="C155" s="27"/>
      <c r="D155" s="19"/>
      <c r="E155" s="19"/>
      <c r="F155" s="27">
        <f>-sum(164,5)</f>
        <v>-169</v>
      </c>
      <c r="G155" s="19"/>
      <c r="H155" s="27">
        <f>-Sum(57,-0.75,4)</f>
        <v>-60.25</v>
      </c>
      <c r="I155" s="27">
        <f>-sum(20,17.48)</f>
        <v>-37.48</v>
      </c>
      <c r="J155" s="19"/>
      <c r="K155" s="19"/>
      <c r="L155" s="27"/>
      <c r="M155" s="30"/>
      <c r="N155" s="3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9.5" customHeight="1">
      <c r="A156" s="26">
        <v>45434.0</v>
      </c>
      <c r="B156" s="19"/>
      <c r="C156" s="27"/>
      <c r="D156" s="19"/>
      <c r="E156" s="27">
        <f>-sum(2.2,4)</f>
        <v>-6.2</v>
      </c>
      <c r="F156" s="27"/>
      <c r="G156" s="27">
        <v>-10.2</v>
      </c>
      <c r="H156" s="27">
        <v>-22.99</v>
      </c>
      <c r="I156" s="27">
        <v>-72.22</v>
      </c>
      <c r="J156" s="19"/>
      <c r="K156" s="27"/>
      <c r="L156" s="19"/>
      <c r="M156" s="30"/>
      <c r="N156" s="3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9.5" customHeight="1">
      <c r="A157" s="26">
        <v>45435.0</v>
      </c>
      <c r="B157" s="19"/>
      <c r="C157" s="27"/>
      <c r="D157" s="19"/>
      <c r="E157" s="19"/>
      <c r="F157" s="27">
        <f>-sum(26.95,18)</f>
        <v>-44.95</v>
      </c>
      <c r="G157" s="27"/>
      <c r="H157" s="19">
        <f>-Sum(115.25,38.4)</f>
        <v>-153.65</v>
      </c>
      <c r="I157" s="19"/>
      <c r="J157" s="19"/>
      <c r="K157" s="19"/>
      <c r="L157" s="27"/>
      <c r="M157" s="30"/>
      <c r="N157" s="3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9.5" customHeight="1">
      <c r="A158" s="26">
        <v>45436.0</v>
      </c>
      <c r="B158" s="19"/>
      <c r="C158" s="27"/>
      <c r="D158" s="19"/>
      <c r="E158" s="27"/>
      <c r="F158" s="27">
        <v>-80.88</v>
      </c>
      <c r="G158" s="27"/>
      <c r="H158" s="27"/>
      <c r="I158" s="27">
        <v>-42.22</v>
      </c>
      <c r="J158" s="19"/>
      <c r="K158" s="27"/>
      <c r="L158" s="27">
        <v>-84.4</v>
      </c>
      <c r="M158" s="30"/>
      <c r="N158" s="3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9.5" customHeight="1">
      <c r="A159" s="26">
        <v>45437.0</v>
      </c>
      <c r="B159" s="19"/>
      <c r="C159" s="27"/>
      <c r="D159" s="19"/>
      <c r="E159" s="27"/>
      <c r="F159" s="27">
        <v>-15.0</v>
      </c>
      <c r="G159" s="27"/>
      <c r="H159" s="27">
        <v>-98.38</v>
      </c>
      <c r="I159" s="27">
        <v>-34.51</v>
      </c>
      <c r="J159" s="19"/>
      <c r="K159" s="19"/>
      <c r="L159" s="19"/>
      <c r="M159" s="30"/>
      <c r="N159" s="3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9.5" customHeight="1">
      <c r="A160" s="26">
        <v>45438.0</v>
      </c>
      <c r="B160" s="19"/>
      <c r="C160" s="27"/>
      <c r="D160" s="19"/>
      <c r="E160" s="27"/>
      <c r="F160" s="27"/>
      <c r="G160" s="27"/>
      <c r="H160" s="27">
        <v>-5.8</v>
      </c>
      <c r="I160" s="27"/>
      <c r="J160" s="27"/>
      <c r="K160" s="19"/>
      <c r="L160" s="27"/>
      <c r="M160" s="30"/>
      <c r="N160" s="3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9.5" customHeight="1">
      <c r="A161" s="26">
        <v>45439.0</v>
      </c>
      <c r="B161" s="19"/>
      <c r="C161" s="27"/>
      <c r="D161" s="19"/>
      <c r="E161" s="19"/>
      <c r="F161" s="27"/>
      <c r="G161" s="27">
        <f>-sum(35.13,64.99)</f>
        <v>-100.12</v>
      </c>
      <c r="H161" s="19"/>
      <c r="I161" s="27"/>
      <c r="J161" s="19"/>
      <c r="K161" s="19"/>
      <c r="L161" s="27"/>
      <c r="M161" s="30"/>
      <c r="N161" s="3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9.5" customHeight="1">
      <c r="A162" s="26">
        <v>45440.0</v>
      </c>
      <c r="B162" s="19"/>
      <c r="C162" s="27"/>
      <c r="D162" s="19"/>
      <c r="E162" s="19"/>
      <c r="F162" s="19"/>
      <c r="G162" s="19"/>
      <c r="H162" s="27"/>
      <c r="I162" s="19"/>
      <c r="J162" s="19"/>
      <c r="K162" s="27"/>
      <c r="L162" s="19"/>
      <c r="M162" s="30"/>
      <c r="N162" s="3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9.5" customHeight="1">
      <c r="A163" s="26">
        <v>45441.0</v>
      </c>
      <c r="B163" s="19"/>
      <c r="C163" s="27"/>
      <c r="D163" s="19"/>
      <c r="E163" s="19"/>
      <c r="F163" s="27"/>
      <c r="G163" s="27"/>
      <c r="H163" s="19"/>
      <c r="I163" s="27"/>
      <c r="J163" s="19"/>
      <c r="K163" s="27"/>
      <c r="L163" s="27">
        <v>-204.29</v>
      </c>
      <c r="M163" s="30"/>
      <c r="N163" s="3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9.5" customHeight="1">
      <c r="A164" s="26">
        <v>45442.0</v>
      </c>
      <c r="B164" s="19"/>
      <c r="C164" s="27"/>
      <c r="D164" s="19"/>
      <c r="E164" s="27"/>
      <c r="F164" s="27">
        <v>-6.0</v>
      </c>
      <c r="G164" s="27"/>
      <c r="H164" s="27">
        <f>-sum(70.69,55.73,9.63)</f>
        <v>-136.05</v>
      </c>
      <c r="I164" s="27"/>
      <c r="J164" s="19"/>
      <c r="K164" s="19"/>
      <c r="L164" s="19"/>
      <c r="M164" s="30"/>
      <c r="N164" s="3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9.5" customHeight="1">
      <c r="A165" s="26">
        <v>45443.0</v>
      </c>
      <c r="B165" s="19"/>
      <c r="C165" s="27"/>
      <c r="D165" s="19"/>
      <c r="E165" s="19"/>
      <c r="F165" s="27"/>
      <c r="G165" s="27">
        <v>-508.45</v>
      </c>
      <c r="H165" s="19"/>
      <c r="I165" s="27">
        <v>-16.16</v>
      </c>
      <c r="J165" s="19"/>
      <c r="K165" s="27"/>
      <c r="L165" s="27">
        <v>-84.4</v>
      </c>
      <c r="M165" s="30"/>
      <c r="N165" s="3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9.5" customHeight="1">
      <c r="A166" s="26">
        <v>45444.0</v>
      </c>
      <c r="B166" s="19"/>
      <c r="C166" s="27"/>
      <c r="D166" s="19"/>
      <c r="E166" s="27"/>
      <c r="F166" s="27"/>
      <c r="G166" s="27">
        <v>-9.99</v>
      </c>
      <c r="H166" s="19">
        <f>-Sum(-29.8,13,3.4,36)</f>
        <v>-22.6</v>
      </c>
      <c r="I166" s="19"/>
      <c r="J166" s="19"/>
      <c r="K166" s="19"/>
      <c r="L166" s="19"/>
      <c r="M166" s="30"/>
      <c r="N166" s="3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9.5" customHeight="1">
      <c r="A167" s="26">
        <v>45445.0</v>
      </c>
      <c r="B167" s="19"/>
      <c r="C167" s="27"/>
      <c r="D167" s="19"/>
      <c r="E167" s="27"/>
      <c r="F167" s="27"/>
      <c r="G167" s="19"/>
      <c r="H167" s="27">
        <f>-Sum(10.5,5.6)</f>
        <v>-16.1</v>
      </c>
      <c r="I167" s="27"/>
      <c r="J167" s="19"/>
      <c r="K167" s="19"/>
      <c r="L167" s="27"/>
      <c r="M167" s="30"/>
      <c r="N167" s="3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9.5" customHeight="1">
      <c r="A168" s="26">
        <v>45446.0</v>
      </c>
      <c r="B168" s="19"/>
      <c r="C168" s="27"/>
      <c r="D168" s="19"/>
      <c r="E168" s="19"/>
      <c r="F168" s="27"/>
      <c r="G168" s="27"/>
      <c r="H168" s="27">
        <f>-sum(162.29,2.55,25.46)</f>
        <v>-190.3</v>
      </c>
      <c r="I168" s="27">
        <f>-sum(2.99,54.54)</f>
        <v>-57.53</v>
      </c>
      <c r="J168" s="19"/>
      <c r="K168" s="19"/>
      <c r="L168" s="27"/>
      <c r="M168" s="30"/>
      <c r="N168" s="3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9.5" customHeight="1">
      <c r="A169" s="26">
        <v>45447.0</v>
      </c>
      <c r="B169" s="19"/>
      <c r="C169" s="27"/>
      <c r="D169" s="19"/>
      <c r="E169" s="19"/>
      <c r="F169" s="27"/>
      <c r="G169" s="27">
        <v>-94.64</v>
      </c>
      <c r="H169" s="27"/>
      <c r="I169" s="27"/>
      <c r="J169" s="19"/>
      <c r="K169" s="19"/>
      <c r="L169" s="27"/>
      <c r="M169" s="30"/>
      <c r="N169" s="3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9.5" customHeight="1">
      <c r="A170" s="26">
        <v>45448.0</v>
      </c>
      <c r="B170" s="19"/>
      <c r="C170" s="27"/>
      <c r="D170" s="19"/>
      <c r="E170" s="19"/>
      <c r="F170" s="27"/>
      <c r="G170" s="27">
        <v>-150.19</v>
      </c>
      <c r="H170" s="19"/>
      <c r="I170" s="27"/>
      <c r="J170" s="19"/>
      <c r="K170" s="19"/>
      <c r="L170" s="27"/>
      <c r="M170" s="30"/>
      <c r="N170" s="3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9.5" customHeight="1">
      <c r="A171" s="26">
        <v>45449.0</v>
      </c>
      <c r="B171" s="19"/>
      <c r="C171" s="27"/>
      <c r="D171" s="19"/>
      <c r="E171" s="27"/>
      <c r="F171" s="27">
        <v>-45.9</v>
      </c>
      <c r="G171" s="27">
        <v>-31.05</v>
      </c>
      <c r="H171" s="27"/>
      <c r="I171" s="19"/>
      <c r="J171" s="19"/>
      <c r="K171" s="19">
        <f>-sum(1385,756)</f>
        <v>-2141</v>
      </c>
      <c r="L171" s="27"/>
      <c r="M171" s="30"/>
      <c r="N171" s="3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9.5" customHeight="1">
      <c r="A172" s="26">
        <v>45450.0</v>
      </c>
      <c r="B172" s="19"/>
      <c r="C172" s="27"/>
      <c r="D172" s="19"/>
      <c r="E172" s="19"/>
      <c r="F172" s="27">
        <v>-6.0</v>
      </c>
      <c r="G172" s="27"/>
      <c r="H172" s="27">
        <v>-9.1</v>
      </c>
      <c r="I172" s="19"/>
      <c r="J172" s="27"/>
      <c r="K172" s="19"/>
      <c r="L172" s="27">
        <v>-84.4</v>
      </c>
      <c r="M172" s="30"/>
      <c r="N172" s="3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9.5" customHeight="1">
      <c r="A173" s="26">
        <v>45451.0</v>
      </c>
      <c r="B173" s="19"/>
      <c r="C173" s="27"/>
      <c r="D173" s="19"/>
      <c r="E173" s="19"/>
      <c r="F173" s="27">
        <v>-217.32</v>
      </c>
      <c r="G173" s="27"/>
      <c r="H173" s="19"/>
      <c r="I173" s="27">
        <f>-sum(62.73,73.22)</f>
        <v>-135.95</v>
      </c>
      <c r="J173" s="19"/>
      <c r="K173" s="19"/>
      <c r="L173" s="27"/>
      <c r="M173" s="30"/>
      <c r="N173" s="3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9.5" customHeight="1">
      <c r="A174" s="26">
        <v>45452.0</v>
      </c>
      <c r="B174" s="19"/>
      <c r="C174" s="27"/>
      <c r="D174" s="19"/>
      <c r="E174" s="27">
        <v>-2.69</v>
      </c>
      <c r="F174" s="27"/>
      <c r="G174" s="19"/>
      <c r="H174" s="27">
        <v>-23.95</v>
      </c>
      <c r="I174" s="27">
        <v>-121.31</v>
      </c>
      <c r="J174" s="27"/>
      <c r="K174" s="19"/>
      <c r="L174" s="27"/>
      <c r="M174" s="30"/>
      <c r="N174" s="3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9.5" customHeight="1">
      <c r="A175" s="26">
        <v>45453.0</v>
      </c>
      <c r="B175" s="19"/>
      <c r="C175" s="27"/>
      <c r="D175" s="19"/>
      <c r="E175" s="27"/>
      <c r="F175" s="27"/>
      <c r="G175" s="27">
        <v>-35.13</v>
      </c>
      <c r="H175" s="27">
        <f>-sum(11.25,3.5)</f>
        <v>-14.75</v>
      </c>
      <c r="I175" s="27"/>
      <c r="J175" s="19"/>
      <c r="K175" s="19"/>
      <c r="L175" s="27"/>
      <c r="M175" s="30"/>
      <c r="N175" s="3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9.5" customHeight="1">
      <c r="A176" s="26">
        <v>45454.0</v>
      </c>
      <c r="B176" s="19"/>
      <c r="C176" s="27"/>
      <c r="D176" s="19"/>
      <c r="E176" s="19"/>
      <c r="F176" s="27"/>
      <c r="G176" s="19"/>
      <c r="H176" s="27">
        <v>-39.69</v>
      </c>
      <c r="I176" s="19"/>
      <c r="J176" s="27"/>
      <c r="K176" s="19"/>
      <c r="L176" s="19"/>
      <c r="M176" s="30"/>
      <c r="N176" s="3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9.5" customHeight="1">
      <c r="A177" s="26">
        <v>45455.0</v>
      </c>
      <c r="B177" s="19"/>
      <c r="C177" s="27"/>
      <c r="D177" s="19"/>
      <c r="E177" s="27"/>
      <c r="F177" s="27"/>
      <c r="G177" s="27"/>
      <c r="H177" s="19"/>
      <c r="I177" s="27"/>
      <c r="J177" s="19"/>
      <c r="K177" s="27">
        <v>-500.0</v>
      </c>
      <c r="L177" s="19"/>
      <c r="M177" s="30"/>
      <c r="N177" s="3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9.5" customHeight="1">
      <c r="A178" s="26">
        <v>45456.0</v>
      </c>
      <c r="B178" s="19"/>
      <c r="C178" s="27"/>
      <c r="D178" s="19"/>
      <c r="E178" s="19"/>
      <c r="F178" s="27">
        <v>-0.5</v>
      </c>
      <c r="G178" s="27">
        <f>-sum(4.49,19.95)</f>
        <v>-24.44</v>
      </c>
      <c r="H178" s="27">
        <f>-sum(140.04,-4.23,1.88)</f>
        <v>-137.69</v>
      </c>
      <c r="I178" s="27"/>
      <c r="J178" s="19"/>
      <c r="K178" s="19"/>
      <c r="L178" s="19"/>
      <c r="M178" s="30"/>
      <c r="N178" s="3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9.5" customHeight="1">
      <c r="A179" s="26">
        <v>45457.0</v>
      </c>
      <c r="B179" s="19"/>
      <c r="C179" s="27"/>
      <c r="D179" s="19"/>
      <c r="E179" s="19"/>
      <c r="F179" s="27">
        <f>-Sum(6,175)</f>
        <v>-181</v>
      </c>
      <c r="G179" s="27">
        <v>4.0</v>
      </c>
      <c r="H179" s="27">
        <f>-Sum(4,8.5)</f>
        <v>-12.5</v>
      </c>
      <c r="I179" s="19"/>
      <c r="J179" s="19"/>
      <c r="K179" s="19"/>
      <c r="L179" s="27">
        <v>-84.4</v>
      </c>
      <c r="M179" s="30"/>
      <c r="N179" s="3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9.5" customHeight="1">
      <c r="A180" s="26">
        <v>45458.0</v>
      </c>
      <c r="B180" s="19"/>
      <c r="C180" s="27"/>
      <c r="D180" s="19"/>
      <c r="E180" s="19"/>
      <c r="F180" s="27">
        <v>-84.48</v>
      </c>
      <c r="G180" s="19"/>
      <c r="H180" s="27">
        <v>-39.65</v>
      </c>
      <c r="I180" s="27"/>
      <c r="J180" s="19"/>
      <c r="K180" s="19"/>
      <c r="L180" s="27">
        <v>444.34</v>
      </c>
      <c r="M180" s="30"/>
      <c r="N180" s="3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9.5" customHeight="1">
      <c r="A181" s="26">
        <v>45459.0</v>
      </c>
      <c r="B181" s="19"/>
      <c r="C181" s="27"/>
      <c r="D181" s="19"/>
      <c r="E181" s="27"/>
      <c r="F181" s="27">
        <v>-2.83</v>
      </c>
      <c r="G181" s="27"/>
      <c r="H181" s="19">
        <f>-sum(33.95,38.14)</f>
        <v>-72.09</v>
      </c>
      <c r="I181" s="27">
        <v>-43.46</v>
      </c>
      <c r="J181" s="27"/>
      <c r="K181" s="27"/>
      <c r="L181" s="27"/>
      <c r="M181" s="30"/>
      <c r="N181" s="3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9.5" customHeight="1">
      <c r="A182" s="26">
        <v>45460.0</v>
      </c>
      <c r="B182" s="19"/>
      <c r="C182" s="27"/>
      <c r="D182" s="19"/>
      <c r="E182" s="19"/>
      <c r="F182" s="27">
        <v>-90.0</v>
      </c>
      <c r="G182" s="27">
        <v>-33.38</v>
      </c>
      <c r="H182" s="27"/>
      <c r="I182" s="27"/>
      <c r="J182" s="19"/>
      <c r="K182" s="19"/>
      <c r="L182" s="27"/>
      <c r="M182" s="30"/>
      <c r="N182" s="3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9.5" customHeight="1">
      <c r="A183" s="26">
        <v>45461.0</v>
      </c>
      <c r="B183" s="19"/>
      <c r="C183" s="27"/>
      <c r="D183" s="19"/>
      <c r="E183" s="27"/>
      <c r="F183" s="27">
        <f>-sum(99,6.15)</f>
        <v>-105.15</v>
      </c>
      <c r="G183" s="19"/>
      <c r="H183" s="19"/>
      <c r="I183" s="27"/>
      <c r="J183" s="19"/>
      <c r="K183" s="19"/>
      <c r="L183" s="27"/>
      <c r="M183" s="30"/>
      <c r="N183" s="3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9.5" customHeight="1">
      <c r="A184" s="26">
        <v>45462.0</v>
      </c>
      <c r="B184" s="19"/>
      <c r="C184" s="27"/>
      <c r="D184" s="19"/>
      <c r="E184" s="27"/>
      <c r="F184" s="27"/>
      <c r="G184" s="19"/>
      <c r="H184" s="19"/>
      <c r="I184" s="19"/>
      <c r="J184" s="19"/>
      <c r="K184" s="19"/>
      <c r="L184" s="19"/>
      <c r="M184" s="30"/>
      <c r="N184" s="3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9.5" customHeight="1">
      <c r="A185" s="26">
        <v>45463.0</v>
      </c>
      <c r="B185" s="19"/>
      <c r="C185" s="27"/>
      <c r="D185" s="19"/>
      <c r="E185" s="27"/>
      <c r="F185" s="27">
        <v>200.0</v>
      </c>
      <c r="G185" s="27">
        <v>-48.3</v>
      </c>
      <c r="H185" s="27">
        <v>-15.77</v>
      </c>
      <c r="I185" s="27"/>
      <c r="J185" s="19"/>
      <c r="K185" s="19"/>
      <c r="L185" s="19"/>
      <c r="M185" s="30"/>
      <c r="N185" s="3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9.5" customHeight="1">
      <c r="A186" s="26">
        <v>45464.0</v>
      </c>
      <c r="B186" s="19"/>
      <c r="C186" s="27"/>
      <c r="D186" s="19"/>
      <c r="E186" s="27"/>
      <c r="F186" s="27"/>
      <c r="G186" s="27">
        <v>-1.17</v>
      </c>
      <c r="H186" s="27"/>
      <c r="I186" s="27"/>
      <c r="J186" s="19"/>
      <c r="K186" s="19"/>
      <c r="L186" s="27">
        <v>-66.76</v>
      </c>
      <c r="M186" s="30"/>
      <c r="N186" s="3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9.5" customHeight="1">
      <c r="A187" s="26">
        <v>45465.0</v>
      </c>
      <c r="B187" s="19"/>
      <c r="C187" s="27"/>
      <c r="D187" s="19"/>
      <c r="E187" s="19"/>
      <c r="F187" s="27">
        <v>-6.0</v>
      </c>
      <c r="G187" s="27"/>
      <c r="H187" s="27">
        <v>-36.67</v>
      </c>
      <c r="I187" s="27">
        <f>-Sum(29,54)</f>
        <v>-83</v>
      </c>
      <c r="J187" s="19"/>
      <c r="K187" s="19"/>
      <c r="L187" s="19"/>
      <c r="M187" s="30"/>
      <c r="N187" s="3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9.5" customHeight="1">
      <c r="A188" s="26">
        <v>45466.0</v>
      </c>
      <c r="B188" s="19"/>
      <c r="C188" s="27"/>
      <c r="D188" s="19"/>
      <c r="E188" s="19"/>
      <c r="F188" s="27"/>
      <c r="G188" s="19"/>
      <c r="H188" s="27">
        <f>-sum(69.32)</f>
        <v>-69.32</v>
      </c>
      <c r="I188" s="27">
        <v>-58.0</v>
      </c>
      <c r="J188" s="19"/>
      <c r="K188" s="27"/>
      <c r="L188" s="27"/>
      <c r="M188" s="30"/>
      <c r="N188" s="3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9.5" customHeight="1">
      <c r="A189" s="26">
        <v>45467.0</v>
      </c>
      <c r="B189" s="19"/>
      <c r="C189" s="27"/>
      <c r="D189" s="19"/>
      <c r="E189" s="27">
        <v>-20.0</v>
      </c>
      <c r="F189" s="27"/>
      <c r="G189" s="27">
        <f>-sum(35.13,10.2)</f>
        <v>-45.33</v>
      </c>
      <c r="H189" s="27"/>
      <c r="I189" s="27">
        <v>-16.12</v>
      </c>
      <c r="J189" s="19"/>
      <c r="K189" s="27"/>
      <c r="L189" s="27"/>
      <c r="M189" s="30"/>
      <c r="N189" s="3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9.5" customHeight="1">
      <c r="A190" s="26">
        <v>45468.0</v>
      </c>
      <c r="B190" s="19"/>
      <c r="C190" s="27"/>
      <c r="D190" s="19"/>
      <c r="E190" s="27"/>
      <c r="F190" s="27"/>
      <c r="G190" s="27"/>
      <c r="H190" s="27"/>
      <c r="I190" s="27">
        <v>-36.59</v>
      </c>
      <c r="J190" s="19"/>
      <c r="K190" s="19"/>
      <c r="L190" s="19"/>
      <c r="M190" s="30"/>
      <c r="N190" s="3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9.5" customHeight="1">
      <c r="A191" s="26">
        <v>45469.0</v>
      </c>
      <c r="B191" s="19"/>
      <c r="C191" s="27"/>
      <c r="D191" s="19"/>
      <c r="E191" s="19"/>
      <c r="F191" s="27">
        <v>-6.0</v>
      </c>
      <c r="G191" s="27">
        <v>-27.6</v>
      </c>
      <c r="H191" s="27">
        <v>-26.55</v>
      </c>
      <c r="I191" s="27"/>
      <c r="J191" s="19"/>
      <c r="K191" s="19"/>
      <c r="L191" s="27"/>
      <c r="M191" s="30"/>
      <c r="N191" s="3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9.5" customHeight="1">
      <c r="A192" s="26">
        <v>45470.0</v>
      </c>
      <c r="B192" s="19"/>
      <c r="C192" s="27"/>
      <c r="D192" s="19"/>
      <c r="E192" s="19"/>
      <c r="F192" s="27">
        <v>-15.25</v>
      </c>
      <c r="G192" s="27"/>
      <c r="H192" s="19"/>
      <c r="I192" s="19"/>
      <c r="J192" s="19"/>
      <c r="K192" s="19"/>
      <c r="L192" s="19"/>
      <c r="M192" s="30"/>
      <c r="N192" s="3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9.5" customHeight="1">
      <c r="A193" s="26">
        <v>45471.0</v>
      </c>
      <c r="B193" s="19"/>
      <c r="C193" s="27"/>
      <c r="D193" s="19"/>
      <c r="E193" s="19"/>
      <c r="F193" s="27">
        <v>-13.0</v>
      </c>
      <c r="G193" s="27">
        <v>-9.99</v>
      </c>
      <c r="H193" s="27">
        <f>-sum(3.99,46.42)</f>
        <v>-50.41</v>
      </c>
      <c r="I193" s="27"/>
      <c r="J193" s="19"/>
      <c r="K193" s="19"/>
      <c r="L193" s="27">
        <v>-75.58</v>
      </c>
      <c r="M193" s="30"/>
      <c r="N193" s="3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9.5" customHeight="1">
      <c r="A194" s="26">
        <v>45472.0</v>
      </c>
      <c r="B194" s="19"/>
      <c r="C194" s="27"/>
      <c r="D194" s="19"/>
      <c r="E194" s="27"/>
      <c r="F194" s="27">
        <v>-50.53</v>
      </c>
      <c r="G194" s="27"/>
      <c r="H194" s="27"/>
      <c r="I194" s="19"/>
      <c r="J194" s="27"/>
      <c r="K194" s="19"/>
      <c r="L194" s="19"/>
      <c r="M194" s="30"/>
      <c r="N194" s="3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9.5" customHeight="1">
      <c r="A195" s="26">
        <v>45473.0</v>
      </c>
      <c r="B195" s="19"/>
      <c r="C195" s="27"/>
      <c r="D195" s="19"/>
      <c r="E195" s="27"/>
      <c r="F195" s="27">
        <f>-sum(8,3)</f>
        <v>-11</v>
      </c>
      <c r="G195" s="19"/>
      <c r="H195" s="39">
        <f>-sum(19.99,18.81)</f>
        <v>-38.8</v>
      </c>
      <c r="I195" s="19"/>
      <c r="J195" s="19"/>
      <c r="K195" s="27"/>
      <c r="L195" s="27"/>
      <c r="M195" s="30"/>
      <c r="N195" s="3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9.5" customHeight="1">
      <c r="A196" s="26">
        <v>45474.0</v>
      </c>
      <c r="B196" s="19"/>
      <c r="C196" s="27"/>
      <c r="D196" s="19"/>
      <c r="E196" s="27"/>
      <c r="F196" s="27">
        <v>-12.27</v>
      </c>
      <c r="G196" s="27"/>
      <c r="H196" s="27">
        <v>-56.41</v>
      </c>
      <c r="I196" s="27">
        <v>-20.0</v>
      </c>
      <c r="J196" s="19"/>
      <c r="K196" s="19"/>
      <c r="L196" s="27"/>
      <c r="M196" s="30"/>
      <c r="N196" s="3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26">
        <v>45475.0</v>
      </c>
      <c r="B197" s="19"/>
      <c r="C197" s="27"/>
      <c r="D197" s="19"/>
      <c r="E197" s="27"/>
      <c r="F197" s="27"/>
      <c r="G197" s="27"/>
      <c r="H197" s="27"/>
      <c r="I197" s="19"/>
      <c r="J197" s="27"/>
      <c r="K197" s="19"/>
      <c r="L197" s="19"/>
      <c r="M197" s="30"/>
      <c r="N197" s="3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26">
        <v>45476.0</v>
      </c>
      <c r="B198" s="19"/>
      <c r="C198" s="27"/>
      <c r="D198" s="19"/>
      <c r="E198" s="27"/>
      <c r="F198" s="27"/>
      <c r="G198" s="27"/>
      <c r="H198" s="19"/>
      <c r="I198" s="19"/>
      <c r="J198" s="27"/>
      <c r="K198" s="19"/>
      <c r="L198" s="27">
        <v>-11.4</v>
      </c>
      <c r="M198" s="30"/>
      <c r="N198" s="3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26">
        <v>45477.0</v>
      </c>
      <c r="B199" s="19"/>
      <c r="C199" s="27"/>
      <c r="D199" s="19"/>
      <c r="E199" s="27"/>
      <c r="F199" s="27">
        <f>-sum(6)</f>
        <v>-6</v>
      </c>
      <c r="G199" s="27">
        <f>-sum(39.44,499.6)</f>
        <v>-539.04</v>
      </c>
      <c r="H199" s="27"/>
      <c r="I199" s="27"/>
      <c r="J199" s="19"/>
      <c r="K199" s="19"/>
      <c r="L199" s="19"/>
      <c r="M199" s="30"/>
      <c r="N199" s="3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26">
        <v>45478.0</v>
      </c>
      <c r="B200" s="19"/>
      <c r="C200" s="27"/>
      <c r="D200" s="19"/>
      <c r="E200" s="19"/>
      <c r="F200" s="27">
        <v>-22.0</v>
      </c>
      <c r="G200" s="27"/>
      <c r="H200" s="19">
        <f>-sum(13.5)</f>
        <v>-13.5</v>
      </c>
      <c r="I200" s="27">
        <v>-13.2</v>
      </c>
      <c r="J200" s="19"/>
      <c r="K200" s="19"/>
      <c r="L200" s="27">
        <v>-112.63</v>
      </c>
      <c r="M200" s="30"/>
      <c r="N200" s="3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8.0" customHeight="1">
      <c r="A201" s="26">
        <v>45479.0</v>
      </c>
      <c r="B201" s="19"/>
      <c r="C201" s="27"/>
      <c r="D201" s="19"/>
      <c r="E201" s="27"/>
      <c r="F201" s="27"/>
      <c r="G201" s="27"/>
      <c r="H201" s="27">
        <v>-66.29</v>
      </c>
      <c r="I201" s="19"/>
      <c r="J201" s="19"/>
      <c r="K201" s="27"/>
      <c r="L201" s="19"/>
      <c r="M201" s="30"/>
      <c r="N201" s="3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26">
        <v>45480.0</v>
      </c>
      <c r="B202" s="19"/>
      <c r="C202" s="27"/>
      <c r="D202" s="19"/>
      <c r="E202" s="27">
        <v>-2.2</v>
      </c>
      <c r="F202" s="27"/>
      <c r="G202" s="27">
        <v>-150.0</v>
      </c>
      <c r="H202" s="27">
        <f>-sum(25,124.87,6)</f>
        <v>-155.87</v>
      </c>
      <c r="I202" s="19"/>
      <c r="J202" s="27"/>
      <c r="K202" s="27">
        <v>-500.0</v>
      </c>
      <c r="L202" s="27"/>
      <c r="M202" s="30"/>
      <c r="N202" s="3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26">
        <v>45481.0</v>
      </c>
      <c r="B203" s="19"/>
      <c r="C203" s="27"/>
      <c r="D203" s="19"/>
      <c r="E203" s="19"/>
      <c r="F203" s="27">
        <v>-5.0</v>
      </c>
      <c r="G203" s="27">
        <f>-sum(35.13,110.41,14.09)</f>
        <v>-159.63</v>
      </c>
      <c r="H203" s="27"/>
      <c r="I203" s="27"/>
      <c r="J203" s="19"/>
      <c r="K203" s="19">
        <f>-sum(1385,756)</f>
        <v>-2141</v>
      </c>
      <c r="L203" s="27"/>
      <c r="M203" s="30"/>
      <c r="N203" s="3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26">
        <v>45482.0</v>
      </c>
      <c r="B204" s="19"/>
      <c r="C204" s="27"/>
      <c r="D204" s="19"/>
      <c r="E204" s="27"/>
      <c r="F204" s="27"/>
      <c r="G204" s="27"/>
      <c r="H204" s="19"/>
      <c r="I204" s="27"/>
      <c r="J204" s="19"/>
      <c r="K204" s="19"/>
      <c r="L204" s="19"/>
      <c r="M204" s="30"/>
      <c r="N204" s="3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26">
        <v>45483.0</v>
      </c>
      <c r="B205" s="19"/>
      <c r="C205" s="27"/>
      <c r="D205" s="19"/>
      <c r="E205" s="27"/>
      <c r="F205" s="27"/>
      <c r="G205" s="27">
        <v>-1513.67</v>
      </c>
      <c r="H205" s="27"/>
      <c r="I205" s="27"/>
      <c r="K205" s="19"/>
      <c r="L205" s="27">
        <v>-11.4</v>
      </c>
      <c r="M205" s="30"/>
      <c r="N205" s="3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26">
        <v>45484.0</v>
      </c>
      <c r="B206" s="19"/>
      <c r="C206" s="27"/>
      <c r="D206" s="19"/>
      <c r="E206" s="27"/>
      <c r="F206" s="27">
        <f>-sum(6,73)</f>
        <v>-79</v>
      </c>
      <c r="G206" s="27">
        <v>4.0</v>
      </c>
      <c r="H206" s="19">
        <f>-Sum(28.06,2.7)</f>
        <v>-30.76</v>
      </c>
      <c r="I206" s="27"/>
      <c r="J206" s="19"/>
      <c r="K206" s="27"/>
      <c r="L206" s="19"/>
      <c r="M206" s="30"/>
      <c r="N206" s="3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26">
        <v>45485.0</v>
      </c>
      <c r="B207" s="19"/>
      <c r="C207" s="27"/>
      <c r="D207" s="19"/>
      <c r="E207" s="19"/>
      <c r="F207" s="27"/>
      <c r="G207" s="27"/>
      <c r="H207" s="19">
        <f>-sum(109.36,7.49,53.83,81.95)</f>
        <v>-252.63</v>
      </c>
      <c r="I207" s="27">
        <v>-36.59</v>
      </c>
      <c r="J207" s="27"/>
      <c r="K207" s="27"/>
      <c r="L207" s="27">
        <v>-120.7</v>
      </c>
      <c r="M207" s="30"/>
      <c r="N207" s="3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26">
        <v>45486.0</v>
      </c>
      <c r="B208" s="19"/>
      <c r="C208" s="27"/>
      <c r="D208" s="19"/>
      <c r="E208" s="19"/>
      <c r="F208" s="27">
        <f>-sum(1576.42,422.5,968.41)</f>
        <v>-2967.33</v>
      </c>
      <c r="G208" s="27"/>
      <c r="H208" s="27"/>
      <c r="J208" s="27"/>
      <c r="K208" s="19"/>
      <c r="L208" s="19"/>
      <c r="M208" s="30"/>
      <c r="N208" s="3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26">
        <v>45487.0</v>
      </c>
      <c r="B209" s="19"/>
      <c r="C209" s="27"/>
      <c r="D209" s="19"/>
      <c r="E209" s="27"/>
      <c r="F209" s="27"/>
      <c r="G209" s="27"/>
      <c r="H209" s="27">
        <v>-20.8</v>
      </c>
      <c r="I209" s="19"/>
      <c r="J209" s="27"/>
      <c r="K209" s="19"/>
      <c r="L209" s="27"/>
      <c r="M209" s="30"/>
      <c r="N209" s="3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26">
        <v>45488.0</v>
      </c>
      <c r="B210" s="19"/>
      <c r="C210" s="27"/>
      <c r="D210" s="19"/>
      <c r="E210" s="27"/>
      <c r="F210" s="27">
        <v>98.4</v>
      </c>
      <c r="G210" s="27"/>
      <c r="H210" s="19"/>
      <c r="I210" s="19"/>
      <c r="J210" s="27"/>
      <c r="K210" s="27"/>
      <c r="L210" s="27"/>
      <c r="M210" s="30"/>
      <c r="N210" s="3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26">
        <v>45489.0</v>
      </c>
      <c r="B211" s="19"/>
      <c r="C211" s="27"/>
      <c r="D211" s="19"/>
      <c r="E211" s="27"/>
      <c r="F211" s="27">
        <v>-1130.0</v>
      </c>
      <c r="G211" s="27"/>
      <c r="H211" s="27"/>
      <c r="I211" s="27"/>
      <c r="J211" s="27"/>
      <c r="K211" s="19"/>
      <c r="L211" s="19"/>
      <c r="M211" s="30"/>
      <c r="N211" s="3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26">
        <v>45490.0</v>
      </c>
      <c r="B212" s="19"/>
      <c r="C212" s="27"/>
      <c r="D212" s="19"/>
      <c r="E212" s="19"/>
      <c r="F212" s="27"/>
      <c r="G212" s="27">
        <v>-32.78</v>
      </c>
      <c r="H212" s="19"/>
      <c r="I212" s="27"/>
      <c r="J212" s="19"/>
      <c r="K212" s="19"/>
      <c r="L212" s="19"/>
      <c r="M212" s="30"/>
      <c r="N212" s="3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26">
        <v>45491.0</v>
      </c>
      <c r="B213" s="19"/>
      <c r="C213" s="27"/>
      <c r="D213" s="19"/>
      <c r="E213" s="19"/>
      <c r="F213" s="27">
        <v>-99.0</v>
      </c>
      <c r="G213" s="27"/>
      <c r="H213" s="27">
        <v>-17.92</v>
      </c>
      <c r="I213" s="19"/>
      <c r="J213" s="19"/>
      <c r="K213" s="19"/>
      <c r="L213" s="19"/>
      <c r="M213" s="30"/>
      <c r="N213" s="3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26">
        <v>45492.0</v>
      </c>
      <c r="B214" s="19"/>
      <c r="C214" s="27"/>
      <c r="D214" s="19"/>
      <c r="E214" s="27">
        <v>-20.0</v>
      </c>
      <c r="F214" s="27">
        <v>-11.3</v>
      </c>
      <c r="G214" s="27">
        <v>-1.15</v>
      </c>
      <c r="H214" s="27">
        <f>-sum(15.04,19.89)</f>
        <v>-34.93</v>
      </c>
      <c r="I214" s="27">
        <f>-sum(7.67,14.25)</f>
        <v>-21.92</v>
      </c>
      <c r="J214" s="27"/>
      <c r="K214" s="19"/>
      <c r="L214" s="27">
        <v>-25.1</v>
      </c>
      <c r="M214" s="30"/>
      <c r="N214" s="3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26">
        <v>45493.0</v>
      </c>
      <c r="B215" s="19"/>
      <c r="C215" s="27"/>
      <c r="D215" s="19"/>
      <c r="E215" s="19"/>
      <c r="F215" s="27"/>
      <c r="G215" s="27">
        <v>-7.0</v>
      </c>
      <c r="H215" s="27">
        <v>-31.17</v>
      </c>
      <c r="I215" s="19"/>
      <c r="J215" s="19"/>
      <c r="K215" s="19"/>
      <c r="L215" s="19"/>
      <c r="M215" s="30"/>
      <c r="N215" s="3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26">
        <v>45494.0</v>
      </c>
      <c r="B216" s="19"/>
      <c r="C216" s="27"/>
      <c r="D216" s="19"/>
      <c r="E216" s="27">
        <v>-5.1</v>
      </c>
      <c r="F216" s="27">
        <f>-sum(4,5.8)</f>
        <v>-9.8</v>
      </c>
      <c r="G216" s="27">
        <v>-55.0</v>
      </c>
      <c r="H216" s="39">
        <v>-83.16</v>
      </c>
      <c r="I216" s="19">
        <f>-sum(23.85,18,2.83)</f>
        <v>-44.68</v>
      </c>
      <c r="J216" s="19"/>
      <c r="K216" s="19"/>
      <c r="L216" s="27"/>
      <c r="M216" s="30"/>
      <c r="N216" s="3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26">
        <v>45495.0</v>
      </c>
      <c r="B217" s="19"/>
      <c r="C217" s="27"/>
      <c r="D217" s="19"/>
      <c r="E217" s="19"/>
      <c r="F217" s="27">
        <v>-15.0</v>
      </c>
      <c r="G217" s="27">
        <f>-sum(10.2,41.4,35.13)</f>
        <v>-86.73</v>
      </c>
      <c r="H217" s="19">
        <f>-sum(35.78,124.5,18.99)</f>
        <v>-179.27</v>
      </c>
      <c r="I217" s="27">
        <v>-25.6</v>
      </c>
      <c r="J217" s="19"/>
      <c r="K217" s="19"/>
      <c r="L217" s="27"/>
      <c r="M217" s="30"/>
      <c r="N217" s="3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26">
        <v>45496.0</v>
      </c>
      <c r="B218" s="19"/>
      <c r="C218" s="27"/>
      <c r="D218" s="19"/>
      <c r="E218" s="27"/>
      <c r="F218" s="27"/>
      <c r="G218" s="27">
        <v>-10.0</v>
      </c>
      <c r="H218" s="27"/>
      <c r="I218" s="27"/>
      <c r="J218" s="19"/>
      <c r="K218" s="27">
        <v>-395.0</v>
      </c>
      <c r="L218" s="19"/>
      <c r="M218" s="30"/>
      <c r="N218" s="3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26">
        <v>45497.0</v>
      </c>
      <c r="B219" s="19"/>
      <c r="C219" s="27"/>
      <c r="D219" s="19"/>
      <c r="E219" s="27"/>
      <c r="F219" s="27">
        <v>-6.3</v>
      </c>
      <c r="G219" s="27">
        <v>-335.11</v>
      </c>
      <c r="H219" s="27"/>
      <c r="I219" s="19"/>
      <c r="J219" s="19"/>
      <c r="K219" s="27"/>
      <c r="L219" s="19"/>
      <c r="M219" s="30"/>
      <c r="N219" s="3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26">
        <v>45498.0</v>
      </c>
      <c r="B220" s="19"/>
      <c r="C220" s="27"/>
      <c r="D220" s="19"/>
      <c r="E220" s="27"/>
      <c r="F220" s="27">
        <v>100.97</v>
      </c>
      <c r="G220" s="27">
        <v>-64.99</v>
      </c>
      <c r="H220" s="19"/>
      <c r="I220" s="19"/>
      <c r="J220" s="27"/>
      <c r="K220" s="19"/>
      <c r="L220" s="19"/>
      <c r="M220" s="30"/>
      <c r="N220" s="3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26">
        <v>45499.0</v>
      </c>
      <c r="B221" s="19"/>
      <c r="C221" s="27"/>
      <c r="D221" s="19"/>
      <c r="E221" s="27"/>
      <c r="F221" s="27">
        <v>1609.52</v>
      </c>
      <c r="G221" s="27"/>
      <c r="H221" s="27">
        <f>-Sum(3.5,208,2.5,21)</f>
        <v>-235</v>
      </c>
      <c r="I221" s="19">
        <f>-Sum(9.02,36)</f>
        <v>-45.02</v>
      </c>
      <c r="J221" s="19"/>
      <c r="K221" s="19"/>
      <c r="L221" s="19"/>
      <c r="M221" s="30"/>
      <c r="N221" s="3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26">
        <v>45500.0</v>
      </c>
      <c r="B222" s="19"/>
      <c r="C222" s="27"/>
      <c r="D222" s="19"/>
      <c r="E222" s="19"/>
      <c r="F222" s="27">
        <v>-42.6</v>
      </c>
      <c r="G222" s="19"/>
      <c r="H222" s="27">
        <v>-169.75</v>
      </c>
      <c r="I222" s="27">
        <v>-8.97</v>
      </c>
      <c r="J222" s="19"/>
      <c r="K222" s="19"/>
      <c r="L222" s="19"/>
      <c r="M222" s="30"/>
      <c r="N222" s="3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26">
        <v>45501.0</v>
      </c>
      <c r="B223" s="19"/>
      <c r="C223" s="27"/>
      <c r="D223" s="19"/>
      <c r="E223" s="19"/>
      <c r="F223" s="27"/>
      <c r="G223" s="27">
        <v>-55.0</v>
      </c>
      <c r="H223" s="27"/>
      <c r="I223" s="27"/>
      <c r="J223" s="19"/>
      <c r="K223" s="19"/>
      <c r="L223" s="27"/>
      <c r="M223" s="30"/>
      <c r="N223" s="3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26">
        <v>45502.0</v>
      </c>
      <c r="B224" s="19"/>
      <c r="C224" s="27"/>
      <c r="D224" s="19"/>
      <c r="E224" s="19"/>
      <c r="F224" s="27">
        <v>-23.2</v>
      </c>
      <c r="G224" s="27"/>
      <c r="H224" s="27"/>
      <c r="I224" s="27"/>
      <c r="J224" s="19"/>
      <c r="K224" s="19"/>
      <c r="L224" s="27"/>
      <c r="M224" s="30"/>
      <c r="N224" s="3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26">
        <v>45503.0</v>
      </c>
      <c r="B225" s="19"/>
      <c r="C225" s="27"/>
      <c r="D225" s="19"/>
      <c r="E225" s="19"/>
      <c r="F225" s="27"/>
      <c r="G225" s="27"/>
      <c r="H225" s="27"/>
      <c r="I225" s="27">
        <v>-45.59</v>
      </c>
      <c r="J225" s="19"/>
      <c r="K225" s="19"/>
      <c r="L225" s="19"/>
      <c r="M225" s="30"/>
      <c r="N225" s="3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26">
        <v>45504.0</v>
      </c>
      <c r="B226" s="19"/>
      <c r="C226" s="27"/>
      <c r="D226" s="19"/>
      <c r="E226" s="19"/>
      <c r="F226" s="19"/>
      <c r="G226" s="27">
        <v>-230.96</v>
      </c>
      <c r="H226" s="27">
        <f>-sum(27.94,31.48,45.25,22.8)</f>
        <v>-127.47</v>
      </c>
      <c r="I226" s="27"/>
      <c r="J226" s="19"/>
      <c r="K226" s="19"/>
      <c r="L226" s="19"/>
      <c r="M226" s="30"/>
      <c r="N226" s="3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26">
        <v>45505.0</v>
      </c>
      <c r="B227" s="19"/>
      <c r="C227" s="27"/>
      <c r="D227" s="19"/>
      <c r="E227" s="19"/>
      <c r="F227" s="27">
        <v>-6.0</v>
      </c>
      <c r="G227" s="27">
        <v>-9.99</v>
      </c>
      <c r="H227" s="27"/>
      <c r="I227" s="27"/>
      <c r="J227" s="19"/>
      <c r="K227" s="19"/>
      <c r="L227" s="19"/>
      <c r="M227" s="30"/>
      <c r="N227" s="3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26">
        <v>45506.0</v>
      </c>
      <c r="B228" s="19"/>
      <c r="C228" s="27"/>
      <c r="D228" s="19"/>
      <c r="E228" s="27"/>
      <c r="F228" s="27"/>
      <c r="G228" s="27"/>
      <c r="H228" s="19"/>
      <c r="I228" s="27">
        <v>-57.86</v>
      </c>
      <c r="J228" s="19"/>
      <c r="K228" s="27"/>
      <c r="L228" s="27">
        <v>-58.32</v>
      </c>
      <c r="M228" s="30"/>
      <c r="N228" s="3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26">
        <v>45507.0</v>
      </c>
      <c r="B229" s="19"/>
      <c r="C229" s="27"/>
      <c r="D229" s="19"/>
      <c r="E229" s="27"/>
      <c r="F229" s="27">
        <v>-19.99</v>
      </c>
      <c r="G229" s="27"/>
      <c r="H229" s="27">
        <f>-sum(8.88,10.9)</f>
        <v>-19.78</v>
      </c>
      <c r="I229" s="27">
        <v>-11.0</v>
      </c>
      <c r="J229" s="19"/>
      <c r="K229" s="19"/>
      <c r="L229" s="19"/>
      <c r="M229" s="30"/>
      <c r="N229" s="3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26">
        <v>45508.0</v>
      </c>
      <c r="B230" s="19"/>
      <c r="C230" s="27"/>
      <c r="D230" s="19"/>
      <c r="E230" s="19"/>
      <c r="F230" s="19"/>
      <c r="G230" s="27">
        <f>-sum(55,29.17)</f>
        <v>-84.17</v>
      </c>
      <c r="H230" s="27"/>
      <c r="I230" s="19"/>
      <c r="J230" s="19"/>
      <c r="K230" s="19"/>
      <c r="L230" s="27"/>
      <c r="M230" s="30"/>
      <c r="N230" s="3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26">
        <v>45509.0</v>
      </c>
      <c r="B231" s="19"/>
      <c r="C231" s="27"/>
      <c r="D231" s="19"/>
      <c r="E231" s="19"/>
      <c r="F231" s="27"/>
      <c r="G231" s="27">
        <f>-sum(48.3,35.13,119.78)</f>
        <v>-203.21</v>
      </c>
      <c r="H231" s="27">
        <v>-3.83</v>
      </c>
      <c r="I231" s="27"/>
      <c r="J231" s="19"/>
      <c r="K231" s="19"/>
      <c r="L231" s="27"/>
      <c r="M231" s="30"/>
      <c r="N231" s="3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26">
        <v>45510.0</v>
      </c>
      <c r="B232" s="19"/>
      <c r="C232" s="27"/>
      <c r="D232" s="19"/>
      <c r="E232" s="27">
        <v>-2.0</v>
      </c>
      <c r="F232" s="27">
        <v>-6.0</v>
      </c>
      <c r="G232" s="27">
        <v>178.06</v>
      </c>
      <c r="H232" s="19">
        <f>-sum(99.55,40.48,42.83,9.1)</f>
        <v>-191.96</v>
      </c>
      <c r="I232" s="27">
        <v>-31.0</v>
      </c>
      <c r="J232" s="19"/>
      <c r="K232" s="19">
        <f>-sum(1385,756)</f>
        <v>-2141</v>
      </c>
      <c r="L232" s="27"/>
      <c r="M232" s="30"/>
      <c r="N232" s="3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26">
        <v>45511.0</v>
      </c>
      <c r="B233" s="19"/>
      <c r="C233" s="27"/>
      <c r="D233" s="19"/>
      <c r="E233" s="27"/>
      <c r="F233" s="27"/>
      <c r="G233" s="39">
        <v>-14.99</v>
      </c>
      <c r="H233" s="27"/>
      <c r="I233" s="27">
        <v>-30.95</v>
      </c>
      <c r="J233" s="19"/>
      <c r="K233" s="19"/>
      <c r="L233" s="19"/>
      <c r="M233" s="30"/>
      <c r="N233" s="3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26">
        <v>45512.0</v>
      </c>
      <c r="B234" s="19"/>
      <c r="C234" s="27"/>
      <c r="D234" s="19"/>
      <c r="E234" s="19"/>
      <c r="F234" s="27">
        <v>-15.75</v>
      </c>
      <c r="G234" s="27"/>
      <c r="H234" s="19"/>
      <c r="I234" s="19"/>
      <c r="J234" s="19"/>
      <c r="K234" s="19"/>
      <c r="L234" s="19"/>
      <c r="M234" s="30"/>
      <c r="N234" s="3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26">
        <v>45513.0</v>
      </c>
      <c r="B235" s="19"/>
      <c r="C235" s="27"/>
      <c r="D235" s="19"/>
      <c r="E235" s="27"/>
      <c r="F235" s="27">
        <v>-6.0</v>
      </c>
      <c r="G235" s="27">
        <v>4.0</v>
      </c>
      <c r="H235" s="19">
        <f>-Sum(50.89,13)</f>
        <v>-63.89</v>
      </c>
      <c r="I235" s="27"/>
      <c r="J235" s="19"/>
      <c r="K235" s="19"/>
      <c r="L235" s="27">
        <v>-58.32</v>
      </c>
      <c r="M235" s="30"/>
      <c r="N235" s="3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26">
        <v>45514.0</v>
      </c>
      <c r="B236" s="19"/>
      <c r="C236" s="27"/>
      <c r="D236" s="19"/>
      <c r="E236" s="27"/>
      <c r="F236" s="27"/>
      <c r="G236" s="19"/>
      <c r="H236" s="27"/>
      <c r="I236" s="27">
        <f>-sum(18,10.19,20.13)</f>
        <v>-48.32</v>
      </c>
      <c r="J236" s="19"/>
      <c r="K236" s="27"/>
      <c r="L236" s="19"/>
      <c r="M236" s="30"/>
      <c r="N236" s="3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26">
        <v>45515.0</v>
      </c>
      <c r="B237" s="19"/>
      <c r="C237" s="27"/>
      <c r="D237" s="19"/>
      <c r="E237" s="27"/>
      <c r="F237" s="27"/>
      <c r="G237" s="27">
        <v>-55.0</v>
      </c>
      <c r="H237" s="27">
        <f>-sum(3.99,5,4.4,7.95)</f>
        <v>-21.34</v>
      </c>
      <c r="I237" s="27">
        <v>-5.56</v>
      </c>
      <c r="J237" s="19"/>
      <c r="K237" s="19"/>
      <c r="L237" s="27"/>
      <c r="M237" s="30"/>
      <c r="N237" s="3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26">
        <v>45516.0</v>
      </c>
      <c r="B238" s="19"/>
      <c r="C238" s="27"/>
      <c r="D238" s="19"/>
      <c r="E238" s="27"/>
      <c r="F238" s="27"/>
      <c r="G238" s="19"/>
      <c r="H238" s="27"/>
      <c r="I238" s="27"/>
      <c r="J238" s="19"/>
      <c r="K238" s="27">
        <v>-500.0</v>
      </c>
      <c r="L238" s="27"/>
      <c r="M238" s="30"/>
      <c r="N238" s="3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26">
        <v>45517.0</v>
      </c>
      <c r="B239" s="19"/>
      <c r="C239" s="27"/>
      <c r="D239" s="19"/>
      <c r="E239" s="19"/>
      <c r="F239" s="27">
        <v>-334.4</v>
      </c>
      <c r="G239" s="27"/>
      <c r="H239" s="27">
        <v>-31.29</v>
      </c>
      <c r="I239" s="27"/>
      <c r="J239" s="19"/>
      <c r="K239" s="19"/>
      <c r="L239" s="19"/>
      <c r="M239" s="30"/>
      <c r="N239" s="3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26">
        <v>45518.0</v>
      </c>
      <c r="B240" s="19"/>
      <c r="C240" s="27"/>
      <c r="D240" s="19"/>
      <c r="E240" s="27"/>
      <c r="F240" s="27"/>
      <c r="G240" s="27"/>
      <c r="H240" s="27"/>
      <c r="I240" s="27"/>
      <c r="J240" s="19"/>
      <c r="K240" s="19"/>
      <c r="L240" s="19"/>
      <c r="M240" s="30"/>
      <c r="N240" s="3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26">
        <v>45519.0</v>
      </c>
      <c r="B241" s="19"/>
      <c r="C241" s="27"/>
      <c r="D241" s="19"/>
      <c r="E241" s="27"/>
      <c r="F241" s="27"/>
      <c r="G241" s="19"/>
      <c r="H241" s="27"/>
      <c r="I241" s="27"/>
      <c r="J241" s="19"/>
      <c r="K241" s="19"/>
      <c r="L241" s="19"/>
      <c r="M241" s="30"/>
      <c r="N241" s="3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26">
        <v>45520.0</v>
      </c>
      <c r="B242" s="19"/>
      <c r="C242" s="27"/>
      <c r="D242" s="19"/>
      <c r="E242" s="27"/>
      <c r="F242" s="27"/>
      <c r="G242" s="27"/>
      <c r="H242" s="27">
        <f>-sum(83.21,69.36,8.4)</f>
        <v>-160.97</v>
      </c>
      <c r="I242" s="19"/>
      <c r="J242" s="19"/>
      <c r="K242" s="27"/>
      <c r="L242" s="27">
        <v>-58.32</v>
      </c>
      <c r="M242" s="30"/>
      <c r="N242" s="3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26">
        <v>45521.0</v>
      </c>
      <c r="B243" s="19"/>
      <c r="C243" s="27"/>
      <c r="D243" s="19"/>
      <c r="E243" s="19"/>
      <c r="F243" s="27"/>
      <c r="G243" s="27">
        <v>-33.3</v>
      </c>
      <c r="H243" s="27">
        <v>-23.95</v>
      </c>
      <c r="I243" s="27"/>
      <c r="J243" s="19"/>
      <c r="K243" s="19"/>
      <c r="L243" s="19"/>
      <c r="M243" s="30"/>
      <c r="N243" s="3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26">
        <v>45522.0</v>
      </c>
      <c r="B244" s="19"/>
      <c r="C244" s="27"/>
      <c r="D244" s="19"/>
      <c r="E244" s="27"/>
      <c r="F244" s="27">
        <f>-sum(50.5,15)</f>
        <v>-65.5</v>
      </c>
      <c r="G244" s="27">
        <v>-55.0</v>
      </c>
      <c r="H244" s="27"/>
      <c r="I244" s="27"/>
      <c r="J244" s="27"/>
      <c r="K244" s="19"/>
      <c r="L244" s="27"/>
      <c r="M244" s="30"/>
      <c r="N244" s="3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26">
        <v>45523.0</v>
      </c>
      <c r="B245" s="19"/>
      <c r="C245" s="27"/>
      <c r="D245" s="19"/>
      <c r="E245" s="19"/>
      <c r="F245" s="27"/>
      <c r="G245" s="27">
        <f>-sum(48.3,35.13)</f>
        <v>-83.43</v>
      </c>
      <c r="H245" s="27"/>
      <c r="I245" s="27">
        <v>-26.0</v>
      </c>
      <c r="J245" s="19"/>
      <c r="K245" s="19"/>
      <c r="L245" s="27"/>
      <c r="M245" s="30"/>
      <c r="N245" s="3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26">
        <v>45524.0</v>
      </c>
      <c r="B246" s="19"/>
      <c r="C246" s="27"/>
      <c r="D246" s="19"/>
      <c r="E246" s="27"/>
      <c r="F246" s="19">
        <v>13.12</v>
      </c>
      <c r="G246" s="27"/>
      <c r="H246" s="27"/>
      <c r="I246" s="19"/>
      <c r="J246" s="19"/>
      <c r="K246" s="19"/>
      <c r="L246" s="19"/>
      <c r="M246" s="30"/>
      <c r="N246" s="3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26">
        <v>45525.0</v>
      </c>
      <c r="B247" s="19"/>
      <c r="C247" s="27"/>
      <c r="D247" s="19"/>
      <c r="E247" s="27"/>
      <c r="F247" s="27"/>
      <c r="G247" s="27">
        <v>-1.17</v>
      </c>
      <c r="H247" s="27">
        <v>-14.11</v>
      </c>
      <c r="I247" s="27">
        <f>-sum(23.3,57.86)</f>
        <v>-81.16</v>
      </c>
      <c r="J247" s="19"/>
      <c r="K247" s="19"/>
      <c r="L247" s="19"/>
      <c r="M247" s="30"/>
      <c r="N247" s="3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26">
        <v>45526.0</v>
      </c>
      <c r="B248" s="19"/>
      <c r="C248" s="27"/>
      <c r="D248" s="19"/>
      <c r="E248" s="27">
        <v>-20.0</v>
      </c>
      <c r="F248" s="27">
        <v>-26.95</v>
      </c>
      <c r="G248" s="27">
        <v>-10.2</v>
      </c>
      <c r="H248" s="27">
        <v>-4.4</v>
      </c>
      <c r="I248" s="19">
        <f>-sum(17.86,16)</f>
        <v>-33.86</v>
      </c>
      <c r="J248" s="19"/>
      <c r="K248" s="19"/>
      <c r="L248" s="19"/>
      <c r="M248" s="30"/>
      <c r="N248" s="3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26">
        <v>45527.0</v>
      </c>
      <c r="B249" s="19"/>
      <c r="C249" s="27"/>
      <c r="D249" s="19"/>
      <c r="E249" s="19"/>
      <c r="F249" s="27">
        <v>-55.0</v>
      </c>
      <c r="G249" s="19"/>
      <c r="H249" s="27">
        <v>-79.2</v>
      </c>
      <c r="I249" s="19"/>
      <c r="J249" s="19"/>
      <c r="K249" s="19"/>
      <c r="L249" s="27">
        <v>-58.32</v>
      </c>
      <c r="M249" s="30"/>
      <c r="N249" s="3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26">
        <v>45528.0</v>
      </c>
      <c r="B250" s="19"/>
      <c r="C250" s="27"/>
      <c r="D250" s="19"/>
      <c r="E250" s="19"/>
      <c r="F250" s="27"/>
      <c r="G250" s="27"/>
      <c r="H250" s="27">
        <f>-sum(20,62,15)</f>
        <v>-97</v>
      </c>
      <c r="I250" s="27">
        <f>-sum(13,36.51)</f>
        <v>-49.51</v>
      </c>
      <c r="J250" s="27"/>
      <c r="K250" s="19"/>
      <c r="L250" s="19"/>
      <c r="M250" s="30"/>
      <c r="N250" s="3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26">
        <v>45529.0</v>
      </c>
      <c r="B251" s="19"/>
      <c r="C251" s="27"/>
      <c r="D251" s="19"/>
      <c r="E251" s="27"/>
      <c r="F251" s="27">
        <v>-7.0</v>
      </c>
      <c r="G251" s="27">
        <v>-55.0</v>
      </c>
      <c r="H251" s="27">
        <f>-sum(15.95,48.77)</f>
        <v>-64.72</v>
      </c>
      <c r="I251" s="27">
        <f>-sum(19.99,7)</f>
        <v>-26.99</v>
      </c>
      <c r="J251" s="19"/>
      <c r="K251" s="27"/>
      <c r="L251" s="27"/>
      <c r="M251" s="30"/>
      <c r="N251" s="3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26">
        <v>45530.0</v>
      </c>
      <c r="B252" s="19"/>
      <c r="C252" s="27"/>
      <c r="D252" s="19"/>
      <c r="E252" s="27"/>
      <c r="F252" s="19"/>
      <c r="G252" s="27">
        <v>-64.99</v>
      </c>
      <c r="H252" s="19"/>
      <c r="I252" s="27"/>
      <c r="J252" s="19"/>
      <c r="K252" s="19"/>
      <c r="L252" s="27"/>
      <c r="M252" s="30"/>
      <c r="N252" s="3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26">
        <v>45531.0</v>
      </c>
      <c r="B253" s="19"/>
      <c r="C253" s="27"/>
      <c r="D253" s="19"/>
      <c r="E253" s="19"/>
      <c r="F253" s="19"/>
      <c r="G253" s="27"/>
      <c r="H253" s="27">
        <v>-73.1</v>
      </c>
      <c r="I253" s="19"/>
      <c r="J253" s="19"/>
      <c r="K253" s="19"/>
      <c r="L253" s="19"/>
      <c r="M253" s="30"/>
      <c r="N253" s="3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26">
        <v>45532.0</v>
      </c>
      <c r="B254" s="19"/>
      <c r="C254" s="27"/>
      <c r="D254" s="19"/>
      <c r="E254" s="27"/>
      <c r="F254" s="19"/>
      <c r="G254" s="27">
        <v>-147.0</v>
      </c>
      <c r="H254" s="19"/>
      <c r="I254" s="27">
        <v>-17.99</v>
      </c>
      <c r="J254" s="19"/>
      <c r="K254" s="19"/>
      <c r="L254" s="19"/>
      <c r="M254" s="30"/>
      <c r="N254" s="3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26">
        <v>45533.0</v>
      </c>
      <c r="B255" s="19"/>
      <c r="C255" s="27"/>
      <c r="D255" s="19"/>
      <c r="E255" s="19"/>
      <c r="F255" s="27">
        <v>14.49</v>
      </c>
      <c r="G255" s="19"/>
      <c r="H255" s="27"/>
      <c r="I255" s="27"/>
      <c r="J255" s="27"/>
      <c r="K255" s="19"/>
      <c r="L255" s="19"/>
      <c r="M255" s="30"/>
      <c r="N255" s="3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26">
        <v>45534.0</v>
      </c>
      <c r="B256" s="19"/>
      <c r="C256" s="27"/>
      <c r="D256" s="19"/>
      <c r="E256" s="19"/>
      <c r="F256" s="27"/>
      <c r="G256" s="19"/>
      <c r="H256" s="27">
        <f>-sum(6.5,21,39.52)</f>
        <v>-67.02</v>
      </c>
      <c r="I256" s="27"/>
      <c r="J256" s="19"/>
      <c r="K256" s="19"/>
      <c r="L256" s="27">
        <v>-58.32</v>
      </c>
      <c r="M256" s="30"/>
      <c r="N256" s="3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26">
        <v>45535.0</v>
      </c>
      <c r="B257" s="19"/>
      <c r="C257" s="27"/>
      <c r="D257" s="19"/>
      <c r="E257" s="19"/>
      <c r="F257" s="27">
        <v>-15.0</v>
      </c>
      <c r="G257" s="27"/>
      <c r="H257" s="19">
        <f>-sum(73.1,108.35)</f>
        <v>-181.45</v>
      </c>
      <c r="I257" s="27">
        <v>-143.12</v>
      </c>
      <c r="J257" s="19"/>
      <c r="K257" s="19"/>
      <c r="L257" s="27"/>
      <c r="M257" s="30"/>
      <c r="N257" s="3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26">
        <v>45536.0</v>
      </c>
      <c r="B258" s="19"/>
      <c r="C258" s="27"/>
      <c r="D258" s="19"/>
      <c r="E258" s="19"/>
      <c r="F258" s="27">
        <v>-6.0</v>
      </c>
      <c r="G258" s="27">
        <f>-sum(55,9.99)</f>
        <v>-64.99</v>
      </c>
      <c r="H258" s="27">
        <v>-179.32</v>
      </c>
      <c r="I258" s="27">
        <v>-38.8</v>
      </c>
      <c r="J258" s="19"/>
      <c r="K258" s="19"/>
      <c r="L258" s="27"/>
      <c r="M258" s="30"/>
      <c r="N258" s="3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26">
        <v>45537.0</v>
      </c>
      <c r="B259" s="19"/>
      <c r="C259" s="27"/>
      <c r="D259" s="19"/>
      <c r="E259" s="19"/>
      <c r="F259" s="27"/>
      <c r="G259" s="27">
        <f>-sum(35.13,6.99)</f>
        <v>-42.12</v>
      </c>
      <c r="H259" s="27"/>
      <c r="I259" s="19"/>
      <c r="J259" s="19"/>
      <c r="K259" s="19"/>
      <c r="L259" s="27"/>
      <c r="M259" s="30"/>
      <c r="N259" s="3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26">
        <v>45538.0</v>
      </c>
      <c r="B260" s="19"/>
      <c r="C260" s="27"/>
      <c r="D260" s="19"/>
      <c r="E260" s="19"/>
      <c r="F260" s="19"/>
      <c r="G260" s="27">
        <v>-48.3</v>
      </c>
      <c r="H260" s="19"/>
      <c r="I260" s="27">
        <v>-117.1</v>
      </c>
      <c r="J260" s="19"/>
      <c r="K260" s="27"/>
      <c r="L260" s="19"/>
      <c r="M260" s="30"/>
      <c r="N260" s="3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26">
        <v>45539.0</v>
      </c>
      <c r="B261" s="19"/>
      <c r="C261" s="27"/>
      <c r="D261" s="19"/>
      <c r="E261" s="27"/>
      <c r="F261" s="27"/>
      <c r="G261" s="27"/>
      <c r="H261" s="27"/>
      <c r="I261" s="27">
        <v>-27.5</v>
      </c>
      <c r="J261" s="19"/>
      <c r="K261" s="19"/>
      <c r="L261" s="19"/>
      <c r="M261" s="30"/>
      <c r="N261" s="3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26">
        <v>45540.0</v>
      </c>
      <c r="B262" s="19"/>
      <c r="C262" s="27"/>
      <c r="D262" s="19"/>
      <c r="E262" s="19"/>
      <c r="F262" s="27">
        <v>-67.0</v>
      </c>
      <c r="G262" s="27"/>
      <c r="H262" s="19"/>
      <c r="I262" s="27"/>
      <c r="J262" s="27">
        <v>100.0</v>
      </c>
      <c r="K262" s="19"/>
      <c r="L262" s="19"/>
      <c r="M262" s="30"/>
      <c r="N262" s="3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26">
        <v>45541.0</v>
      </c>
      <c r="B263" s="19"/>
      <c r="C263" s="27"/>
      <c r="D263" s="19"/>
      <c r="E263" s="27"/>
      <c r="F263" s="39">
        <f>-sum(24.49,9.99,5.5,4.8)</f>
        <v>-44.78</v>
      </c>
      <c r="G263" s="27">
        <v>-29.17</v>
      </c>
      <c r="H263" s="27"/>
      <c r="I263" s="27">
        <v>-18.5</v>
      </c>
      <c r="J263" s="19"/>
      <c r="K263" s="19">
        <f>-sum(1385,756)</f>
        <v>-2141</v>
      </c>
      <c r="L263" s="27">
        <v>-58.32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26">
        <v>45542.0</v>
      </c>
      <c r="B264" s="19"/>
      <c r="C264" s="27"/>
      <c r="D264" s="19"/>
      <c r="E264" s="19"/>
      <c r="F264" s="27">
        <v>-93.0</v>
      </c>
      <c r="G264" s="27">
        <v>-14.99</v>
      </c>
      <c r="H264" s="27"/>
      <c r="I264" s="27">
        <v>-35.6</v>
      </c>
      <c r="J264" s="19"/>
      <c r="K264" s="27"/>
      <c r="L264" s="1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26">
        <v>45543.0</v>
      </c>
      <c r="B265" s="19"/>
      <c r="C265" s="27"/>
      <c r="D265" s="19"/>
      <c r="E265" s="27"/>
      <c r="F265" s="27"/>
      <c r="G265" s="27">
        <v>-55.0</v>
      </c>
      <c r="H265" s="27">
        <v>-44.89</v>
      </c>
      <c r="I265" s="27"/>
      <c r="J265" s="19"/>
      <c r="K265" s="19"/>
      <c r="L265" s="2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26">
        <v>45544.0</v>
      </c>
      <c r="B266" s="19"/>
      <c r="C266" s="27"/>
      <c r="D266" s="19"/>
      <c r="E266" s="27"/>
      <c r="F266" s="19"/>
      <c r="H266" s="27">
        <f>-sum(36.89,65.9,34,3.24,3,7.4)</f>
        <v>-150.43</v>
      </c>
      <c r="I266" s="19"/>
      <c r="J266" s="19"/>
      <c r="K266" s="19"/>
      <c r="L266" s="2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26">
        <v>45545.0</v>
      </c>
      <c r="B267" s="19"/>
      <c r="C267" s="27"/>
      <c r="D267" s="19"/>
      <c r="E267" s="27"/>
      <c r="F267" s="27">
        <v>4.0</v>
      </c>
      <c r="G267" s="27"/>
      <c r="H267" s="19"/>
      <c r="I267" s="27">
        <v>-55.41</v>
      </c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26">
        <v>45546.0</v>
      </c>
      <c r="B268" s="19"/>
      <c r="C268" s="27"/>
      <c r="D268" s="19"/>
      <c r="E268" s="27"/>
      <c r="F268" s="27">
        <v>-5.19</v>
      </c>
      <c r="G268" s="27"/>
      <c r="H268" s="27">
        <v>-11.63</v>
      </c>
      <c r="I268" s="27"/>
      <c r="J268" s="19"/>
      <c r="K268" s="19"/>
      <c r="L268" s="2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26">
        <v>45547.0</v>
      </c>
      <c r="B269" s="19"/>
      <c r="C269" s="27"/>
      <c r="D269" s="19"/>
      <c r="E269" s="27">
        <v>-20.0</v>
      </c>
      <c r="F269" s="27"/>
      <c r="G269" s="27"/>
      <c r="H269" s="27"/>
      <c r="I269" s="27">
        <v>-18.17</v>
      </c>
      <c r="J269" s="19"/>
      <c r="K269" s="19"/>
      <c r="L269" s="2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26">
        <v>45548.0</v>
      </c>
      <c r="B270" s="19"/>
      <c r="C270" s="27"/>
      <c r="D270" s="19"/>
      <c r="E270" s="27"/>
      <c r="F270" s="27"/>
      <c r="G270" s="27"/>
      <c r="H270" s="27"/>
      <c r="J270" s="19"/>
      <c r="K270" s="19"/>
      <c r="L270" s="27">
        <v>-58.32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26">
        <v>45549.0</v>
      </c>
      <c r="B271" s="19"/>
      <c r="C271" s="27"/>
      <c r="D271" s="19"/>
      <c r="E271" s="19"/>
      <c r="F271" s="27">
        <f>-sum(9,1,4.8)</f>
        <v>-14.8</v>
      </c>
      <c r="G271" s="27"/>
      <c r="H271" s="27">
        <f>-Sum(27.49,36.91)</f>
        <v>-64.4</v>
      </c>
      <c r="I271" s="27">
        <f>-sum(36.34,3.05,35.52)</f>
        <v>-74.91</v>
      </c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26">
        <v>45550.0</v>
      </c>
      <c r="B272" s="19"/>
      <c r="C272" s="27"/>
      <c r="D272" s="19"/>
      <c r="E272" s="19"/>
      <c r="F272" s="27"/>
      <c r="G272" s="27">
        <v>-55.0</v>
      </c>
      <c r="H272" s="27">
        <f>-sum(9.68,107.89)</f>
        <v>-117.57</v>
      </c>
      <c r="I272" s="27">
        <v>-4.55</v>
      </c>
      <c r="J272" s="19"/>
      <c r="K272" s="19"/>
      <c r="L272" s="2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26">
        <v>45551.0</v>
      </c>
      <c r="B273" s="19"/>
      <c r="C273" s="27"/>
      <c r="D273" s="19"/>
      <c r="E273" s="27"/>
      <c r="F273" s="27"/>
      <c r="G273" s="27">
        <f>-sum(48.3,35.13)</f>
        <v>-83.43</v>
      </c>
      <c r="H273" s="27"/>
      <c r="I273" s="19"/>
      <c r="J273" s="19"/>
      <c r="K273" s="27">
        <v>-500.0</v>
      </c>
      <c r="L273" s="2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26">
        <v>45552.0</v>
      </c>
      <c r="B274" s="19"/>
      <c r="C274" s="27"/>
      <c r="D274" s="19"/>
      <c r="E274" s="27"/>
      <c r="F274" s="27">
        <v>-130.0</v>
      </c>
      <c r="G274" s="27">
        <v>-32.89</v>
      </c>
      <c r="H274" s="19"/>
      <c r="I274" s="27"/>
      <c r="J274" s="19"/>
      <c r="K274" s="27"/>
      <c r="L274" s="1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26">
        <v>45553.0</v>
      </c>
      <c r="B275" s="19"/>
      <c r="C275" s="27"/>
      <c r="D275" s="19"/>
      <c r="E275" s="19"/>
      <c r="F275" s="27"/>
      <c r="G275" s="27"/>
      <c r="H275" s="27">
        <f>-sum(60,38.1,10.26,39.85)</f>
        <v>-148.21</v>
      </c>
      <c r="I275" s="27"/>
      <c r="J275" s="19"/>
      <c r="K275" s="19"/>
      <c r="L275" s="1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26">
        <v>45554.0</v>
      </c>
      <c r="B276" s="19"/>
      <c r="C276" s="27"/>
      <c r="D276" s="19"/>
      <c r="E276" s="27"/>
      <c r="F276" s="27">
        <v>-1.15</v>
      </c>
      <c r="G276" s="27"/>
      <c r="H276" s="19"/>
      <c r="I276" s="27"/>
      <c r="J276" s="19"/>
      <c r="K276" s="19"/>
      <c r="L276" s="1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26">
        <v>45555.0</v>
      </c>
      <c r="B277" s="19"/>
      <c r="C277" s="27"/>
      <c r="D277" s="19"/>
      <c r="E277" s="27"/>
      <c r="F277" s="27">
        <v>-99.0</v>
      </c>
      <c r="G277" s="27"/>
      <c r="H277" s="27"/>
      <c r="I277" s="27"/>
      <c r="J277" s="19"/>
      <c r="K277" s="19"/>
      <c r="L277" s="27">
        <v>-58.32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26">
        <v>45556.0</v>
      </c>
      <c r="B278" s="19"/>
      <c r="C278" s="27"/>
      <c r="D278" s="19"/>
      <c r="E278" s="19"/>
      <c r="F278" s="27">
        <v>-9.4</v>
      </c>
      <c r="G278" s="27"/>
      <c r="H278" s="27">
        <v>-48.05</v>
      </c>
      <c r="I278" s="27">
        <f>-sum(7,3.64,25.03)</f>
        <v>-35.67</v>
      </c>
      <c r="J278" s="19"/>
      <c r="K278" s="19"/>
      <c r="L278" s="1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26">
        <v>45557.0</v>
      </c>
      <c r="B279" s="19"/>
      <c r="C279" s="27"/>
      <c r="D279" s="19"/>
      <c r="E279" s="19"/>
      <c r="F279" s="27"/>
      <c r="G279" s="27"/>
      <c r="H279" s="27"/>
      <c r="I279" s="19"/>
      <c r="J279" s="19"/>
      <c r="K279" s="19"/>
      <c r="L279" s="2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26">
        <v>45558.0</v>
      </c>
      <c r="B280" s="19"/>
      <c r="C280" s="27"/>
      <c r="D280" s="19"/>
      <c r="E280" s="19"/>
      <c r="F280" s="27"/>
      <c r="G280" s="27">
        <f>-sum(10.2,-44.4,55)</f>
        <v>-20.8</v>
      </c>
      <c r="H280" s="19"/>
      <c r="I280" s="27"/>
      <c r="J280" s="19"/>
      <c r="K280" s="19"/>
      <c r="L280" s="2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26">
        <v>45559.0</v>
      </c>
      <c r="B281" s="19"/>
      <c r="C281" s="27"/>
      <c r="D281" s="19"/>
      <c r="E281" s="19"/>
      <c r="F281" s="19"/>
      <c r="G281" s="27"/>
      <c r="H281" s="27"/>
      <c r="I281" s="27"/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26">
        <v>45560.0</v>
      </c>
      <c r="B282" s="19"/>
      <c r="C282" s="27"/>
      <c r="D282" s="19"/>
      <c r="E282" s="27"/>
      <c r="F282" s="27"/>
      <c r="G282" s="27">
        <v>-64.99</v>
      </c>
      <c r="H282" s="27">
        <v>-28.4</v>
      </c>
      <c r="I282" s="27">
        <v>-71.92</v>
      </c>
      <c r="J282" s="19"/>
      <c r="K282" s="19"/>
      <c r="L282" s="2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26">
        <v>45561.0</v>
      </c>
      <c r="B283" s="19"/>
      <c r="C283" s="27"/>
      <c r="D283" s="19"/>
      <c r="E283" s="19"/>
      <c r="F283" s="27">
        <v>-15.75</v>
      </c>
      <c r="G283" s="27">
        <v>100</v>
      </c>
      <c r="H283" s="19">
        <f>-sum(22.05,78.35,31.85)</f>
        <v>-132.25</v>
      </c>
      <c r="I283" s="27"/>
      <c r="J283" s="19"/>
      <c r="K283" s="19"/>
      <c r="L283" s="1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26">
        <v>45562.0</v>
      </c>
      <c r="B284" s="19"/>
      <c r="C284" s="27"/>
      <c r="D284" s="19"/>
      <c r="E284" s="27"/>
      <c r="F284" s="27"/>
      <c r="G284" s="19"/>
      <c r="H284" s="27"/>
      <c r="I284" s="19"/>
      <c r="J284" s="19"/>
      <c r="K284" s="19"/>
      <c r="L284" s="27">
        <v>-58.32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26">
        <v>45563.0</v>
      </c>
      <c r="B285" s="19"/>
      <c r="C285" s="27"/>
      <c r="D285" s="19"/>
      <c r="E285" s="27"/>
      <c r="F285" s="27"/>
      <c r="G285" s="27"/>
      <c r="H285" s="19"/>
      <c r="I285" s="27"/>
      <c r="J285" s="27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26">
        <v>45564.0</v>
      </c>
      <c r="B286" s="19"/>
      <c r="C286" s="27"/>
      <c r="D286" s="19"/>
      <c r="E286" s="27"/>
      <c r="F286" s="27"/>
      <c r="G286" s="27">
        <v>-55.0</v>
      </c>
      <c r="H286" s="27">
        <f>-sum(149.96,16.15,22.5,27.64)</f>
        <v>-216.25</v>
      </c>
      <c r="I286" s="27"/>
      <c r="J286" s="19"/>
      <c r="K286" s="19"/>
      <c r="L286" s="2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26">
        <v>45565.0</v>
      </c>
      <c r="B287" s="19"/>
      <c r="C287" s="27"/>
      <c r="D287" s="19"/>
      <c r="E287" s="27"/>
      <c r="F287" s="27"/>
      <c r="G287" s="27">
        <f>-sum(31.05,147,524.8,35.13)</f>
        <v>-737.98</v>
      </c>
      <c r="H287" s="27"/>
      <c r="I287" s="27"/>
      <c r="J287" s="19"/>
      <c r="K287" s="19"/>
      <c r="L287" s="2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26">
        <v>45566.0</v>
      </c>
      <c r="B288" s="19"/>
      <c r="C288" s="27"/>
      <c r="D288" s="19"/>
      <c r="E288" s="27"/>
      <c r="F288" s="27"/>
      <c r="G288" s="27">
        <v>-9.99</v>
      </c>
      <c r="H288" s="19">
        <f>-sum(150.5,58.3,12,41.08,26.6)</f>
        <v>-288.48</v>
      </c>
      <c r="I288" s="27"/>
      <c r="J288" s="19"/>
      <c r="K288" s="27">
        <v>-500.0</v>
      </c>
      <c r="L288" s="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26">
        <v>45567.0</v>
      </c>
      <c r="B289" s="19"/>
      <c r="C289" s="27"/>
      <c r="D289" s="19"/>
      <c r="E289" s="27"/>
      <c r="F289" s="27"/>
      <c r="G289" s="19"/>
      <c r="H289" s="19"/>
      <c r="I289" s="19"/>
      <c r="J289" s="19"/>
      <c r="K289" s="19"/>
      <c r="L289" s="1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26">
        <v>45568.0</v>
      </c>
      <c r="B290" s="19"/>
      <c r="C290" s="27"/>
      <c r="D290" s="19"/>
      <c r="E290" s="19"/>
      <c r="F290" s="27"/>
      <c r="G290" s="27">
        <f>-sum(0.7,176.95)</f>
        <v>-177.65</v>
      </c>
      <c r="H290" s="27"/>
      <c r="I290" s="19"/>
      <c r="J290" s="19"/>
      <c r="K290" s="19"/>
      <c r="L290" s="2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26">
        <v>45569.0</v>
      </c>
      <c r="B291" s="19"/>
      <c r="C291" s="27"/>
      <c r="D291" s="19"/>
      <c r="E291" s="19"/>
      <c r="F291" s="27">
        <v>-23.0</v>
      </c>
      <c r="G291" s="27"/>
      <c r="H291" s="27">
        <v>-11.36</v>
      </c>
      <c r="I291" s="19"/>
      <c r="J291" s="19"/>
      <c r="K291" s="19"/>
      <c r="L291" s="27">
        <v>-58.32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26">
        <v>45570.0</v>
      </c>
      <c r="B292" s="19"/>
      <c r="C292" s="27"/>
      <c r="D292" s="19"/>
      <c r="E292" s="19"/>
      <c r="F292" s="27">
        <v>-84.48</v>
      </c>
      <c r="G292" s="27"/>
      <c r="H292" s="27">
        <f>-sum(2.96,33.87)</f>
        <v>-36.83</v>
      </c>
      <c r="I292" s="27"/>
      <c r="J292" s="19"/>
      <c r="K292" s="27"/>
      <c r="L292" s="1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26">
        <v>45571.0</v>
      </c>
      <c r="B293" s="19"/>
      <c r="C293" s="27"/>
      <c r="D293" s="19"/>
      <c r="E293" s="27"/>
      <c r="F293" s="27">
        <v>-55.0</v>
      </c>
      <c r="G293" s="27"/>
      <c r="H293" s="27">
        <v>-9.4</v>
      </c>
      <c r="I293" s="27"/>
      <c r="J293" s="19"/>
      <c r="K293" s="27"/>
      <c r="L293" s="27"/>
      <c r="M293" s="8"/>
      <c r="N293" s="8"/>
      <c r="O293" s="29"/>
      <c r="P293" s="29"/>
      <c r="Q293" s="29"/>
      <c r="R293" s="29"/>
      <c r="S293" s="29"/>
      <c r="T293" s="29"/>
      <c r="U293" s="29"/>
      <c r="V293" s="29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26">
        <v>45572.0</v>
      </c>
      <c r="B294" s="19"/>
      <c r="C294" s="27"/>
      <c r="D294" s="19"/>
      <c r="E294" s="27"/>
      <c r="F294" s="27">
        <f>-sum(5.98,26.78,57)</f>
        <v>-89.76</v>
      </c>
      <c r="G294" s="27">
        <f>-sum(29.17,14.99)</f>
        <v>-44.16</v>
      </c>
      <c r="H294" s="27"/>
      <c r="I294" s="27"/>
      <c r="J294" s="19"/>
      <c r="K294" s="27"/>
      <c r="L294" s="2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26">
        <v>45573.0</v>
      </c>
      <c r="B295" s="19"/>
      <c r="C295" s="27"/>
      <c r="D295" s="19"/>
      <c r="E295" s="27"/>
      <c r="F295" s="27">
        <v>-10.9</v>
      </c>
      <c r="G295" s="27"/>
      <c r="H295" s="27">
        <f>-sum(38.1,15.16,37.96,5)</f>
        <v>-96.22</v>
      </c>
      <c r="I295" s="27"/>
      <c r="J295" s="19"/>
      <c r="K295" s="19"/>
      <c r="L295" s="1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26">
        <v>45574.0</v>
      </c>
      <c r="B296" s="19"/>
      <c r="C296" s="27"/>
      <c r="D296" s="19"/>
      <c r="E296" s="19"/>
      <c r="F296" s="27">
        <f>-sum(160,173.99)</f>
        <v>-333.99</v>
      </c>
      <c r="G296" s="27">
        <v>-72.25</v>
      </c>
      <c r="H296" s="39">
        <v>-211.92</v>
      </c>
      <c r="I296" s="27"/>
      <c r="J296" s="19"/>
      <c r="K296" s="19"/>
      <c r="L296" s="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26">
        <v>45575.0</v>
      </c>
      <c r="B297" s="19"/>
      <c r="C297" s="27"/>
      <c r="D297" s="19"/>
      <c r="E297" s="27"/>
      <c r="F297" s="27">
        <f>-sum(16.5,800,300,44.95)</f>
        <v>-1161.45</v>
      </c>
      <c r="G297" s="27"/>
      <c r="H297" s="39">
        <v>-4.0</v>
      </c>
      <c r="I297" s="27"/>
      <c r="J297" s="19"/>
      <c r="K297" s="19"/>
      <c r="L297" s="1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26">
        <v>45576.0</v>
      </c>
      <c r="B298" s="19"/>
      <c r="C298" s="27"/>
      <c r="D298" s="19"/>
      <c r="E298" s="27"/>
      <c r="F298" s="27"/>
      <c r="G298" s="27"/>
      <c r="H298" s="27"/>
      <c r="I298" s="19"/>
      <c r="J298" s="19"/>
      <c r="K298" s="19"/>
      <c r="L298" s="27">
        <v>-58.32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26">
        <v>45577.0</v>
      </c>
      <c r="B299" s="19"/>
      <c r="C299" s="27"/>
      <c r="D299" s="19"/>
      <c r="E299" s="27"/>
      <c r="F299" s="27">
        <v>-20.99</v>
      </c>
      <c r="G299" s="27"/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26">
        <v>45578.0</v>
      </c>
      <c r="B300" s="19"/>
      <c r="C300" s="27"/>
      <c r="D300" s="19"/>
      <c r="E300" s="27"/>
      <c r="F300" s="27"/>
      <c r="G300" s="27"/>
      <c r="I300" s="19"/>
      <c r="J300" s="19"/>
      <c r="K300" s="19"/>
      <c r="L300" s="2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26">
        <v>45579.0</v>
      </c>
      <c r="B301" s="19"/>
      <c r="C301" s="27"/>
      <c r="D301" s="19"/>
      <c r="E301" s="27"/>
      <c r="F301" s="27"/>
      <c r="G301" s="27">
        <v>-35.13</v>
      </c>
      <c r="H301" s="19"/>
      <c r="I301" s="27"/>
      <c r="J301" s="19"/>
      <c r="K301" s="19"/>
      <c r="L301" s="2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26">
        <v>45580.0</v>
      </c>
      <c r="B302" s="19"/>
      <c r="C302" s="27"/>
      <c r="D302" s="19"/>
      <c r="E302" s="27"/>
      <c r="F302" s="27"/>
      <c r="G302" s="27"/>
      <c r="H302" s="27"/>
      <c r="I302" s="27"/>
      <c r="J302" s="19"/>
      <c r="K302" s="19"/>
      <c r="L302" s="1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26">
        <v>45581.0</v>
      </c>
      <c r="B303" s="19"/>
      <c r="C303" s="27"/>
      <c r="D303" s="19"/>
      <c r="E303" s="27"/>
      <c r="F303" s="27"/>
      <c r="G303" s="27"/>
      <c r="H303" s="19"/>
      <c r="I303" s="27"/>
      <c r="J303" s="19"/>
      <c r="K303" s="19"/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26">
        <v>45582.0</v>
      </c>
      <c r="B304" s="19"/>
      <c r="C304" s="27"/>
      <c r="D304" s="19"/>
      <c r="E304" s="19"/>
      <c r="F304" s="19"/>
      <c r="G304" s="27">
        <f>-Sum(33.05,1.16)</f>
        <v>-34.21</v>
      </c>
      <c r="H304" s="19"/>
      <c r="I304" s="27"/>
      <c r="J304" s="19"/>
      <c r="K304" s="19">
        <f>-sum(1385,756)</f>
        <v>-2141</v>
      </c>
      <c r="L304" s="1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26">
        <v>45583.0</v>
      </c>
      <c r="B305" s="19"/>
      <c r="C305" s="27"/>
      <c r="D305" s="19"/>
      <c r="E305" s="19"/>
      <c r="F305" s="27"/>
      <c r="G305" s="27"/>
      <c r="H305" s="19"/>
      <c r="I305" s="27"/>
      <c r="J305" s="19"/>
      <c r="K305" s="19"/>
      <c r="L305" s="27">
        <v>-43.74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26">
        <v>45584.0</v>
      </c>
      <c r="B306" s="19"/>
      <c r="C306" s="27"/>
      <c r="D306" s="19"/>
      <c r="E306" s="27"/>
      <c r="F306" s="27"/>
      <c r="G306" s="27"/>
      <c r="H306" s="27"/>
      <c r="I306" s="19"/>
      <c r="J306" s="19"/>
      <c r="K306" s="19"/>
      <c r="L306" s="1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26">
        <v>45585.0</v>
      </c>
      <c r="B307" s="19"/>
      <c r="C307" s="27"/>
      <c r="D307" s="19"/>
      <c r="E307" s="27"/>
      <c r="F307" s="27"/>
      <c r="G307" s="19"/>
      <c r="H307" s="27"/>
      <c r="I307" s="19"/>
      <c r="J307" s="19"/>
      <c r="K307" s="19"/>
      <c r="L307" s="2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26">
        <v>45586.0</v>
      </c>
      <c r="B308" s="19"/>
      <c r="C308" s="27"/>
      <c r="D308" s="19"/>
      <c r="E308" s="19"/>
      <c r="F308" s="27"/>
      <c r="G308" s="27">
        <v>-22.0</v>
      </c>
      <c r="H308" s="19"/>
      <c r="I308" s="27"/>
      <c r="J308" s="19"/>
      <c r="K308" s="27"/>
      <c r="L308" s="2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26">
        <v>45587.0</v>
      </c>
      <c r="B309" s="19"/>
      <c r="C309" s="27"/>
      <c r="D309" s="19"/>
      <c r="E309" s="27"/>
      <c r="F309" s="27"/>
      <c r="G309" s="27">
        <v>-10.2</v>
      </c>
      <c r="H309" s="27"/>
      <c r="I309" s="27"/>
      <c r="J309" s="27"/>
      <c r="K309" s="19"/>
      <c r="L309" s="1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26">
        <v>45588.0</v>
      </c>
      <c r="B310" s="19"/>
      <c r="C310" s="27"/>
      <c r="D310" s="19"/>
      <c r="E310" s="19"/>
      <c r="F310" s="27"/>
      <c r="G310" s="27"/>
      <c r="H310" s="19"/>
      <c r="I310" s="19"/>
      <c r="J310" s="19"/>
      <c r="K310" s="19"/>
      <c r="L310" s="1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26">
        <v>45589.0</v>
      </c>
      <c r="B311" s="19"/>
      <c r="C311" s="27"/>
      <c r="D311" s="19"/>
      <c r="E311" s="27"/>
      <c r="F311" s="27"/>
      <c r="G311" s="27">
        <v>-316.74</v>
      </c>
      <c r="H311" s="19"/>
      <c r="I311" s="27"/>
      <c r="J311" s="19"/>
      <c r="K311" s="27"/>
      <c r="L311" s="1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26">
        <v>45590.0</v>
      </c>
      <c r="B312" s="19"/>
      <c r="C312" s="27"/>
      <c r="D312" s="19"/>
      <c r="E312" s="27"/>
      <c r="F312" s="27"/>
      <c r="G312" s="27">
        <v>-64.99</v>
      </c>
      <c r="H312" s="27"/>
      <c r="I312" s="27"/>
      <c r="J312" s="19"/>
      <c r="K312" s="19"/>
      <c r="L312" s="27">
        <v>-43.74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26">
        <v>45591.0</v>
      </c>
      <c r="B313" s="19"/>
      <c r="C313" s="27"/>
      <c r="D313" s="19"/>
      <c r="E313" s="19"/>
      <c r="F313" s="27"/>
      <c r="G313" s="27">
        <v>-82.0</v>
      </c>
      <c r="H313" s="27"/>
      <c r="I313" s="19"/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26">
        <v>45592.0</v>
      </c>
      <c r="B314" s="19"/>
      <c r="C314" s="27"/>
      <c r="D314" s="19"/>
      <c r="E314" s="27"/>
      <c r="F314" s="27"/>
      <c r="G314" s="27"/>
      <c r="H314" s="27">
        <v>-55.0</v>
      </c>
      <c r="I314" s="19"/>
      <c r="J314" s="19"/>
      <c r="K314" s="19"/>
      <c r="L314" s="2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26">
        <v>45593.0</v>
      </c>
      <c r="B315" s="19"/>
      <c r="C315" s="27"/>
      <c r="D315" s="19"/>
      <c r="E315" s="19"/>
      <c r="F315" s="19"/>
      <c r="G315" s="27"/>
      <c r="H315">
        <f>-sum(46.71,35.13)</f>
        <v>-81.84</v>
      </c>
      <c r="I315" s="27">
        <v>-14.95</v>
      </c>
      <c r="J315" s="19"/>
      <c r="K315" s="19"/>
      <c r="L315" s="2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26">
        <v>45594.0</v>
      </c>
      <c r="B316" s="19"/>
      <c r="C316" s="27"/>
      <c r="D316" s="19"/>
      <c r="E316" s="27"/>
      <c r="F316" s="27"/>
      <c r="G316" s="27"/>
      <c r="H316" s="19"/>
      <c r="I316" s="27"/>
      <c r="J316" s="19"/>
      <c r="K316" s="19"/>
      <c r="L316" s="1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26">
        <v>45595.0</v>
      </c>
      <c r="B317" s="19"/>
      <c r="C317" s="27"/>
      <c r="D317" s="19"/>
      <c r="E317" s="19"/>
      <c r="F317" s="27"/>
      <c r="G317" s="27"/>
      <c r="H317" s="27">
        <f>-sum(59.77,85.64)</f>
        <v>-145.41</v>
      </c>
      <c r="I317" s="19"/>
      <c r="J317" s="19"/>
      <c r="K317" s="19"/>
      <c r="L317" s="1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26">
        <v>45596.0</v>
      </c>
      <c r="B318" s="19"/>
      <c r="C318" s="27"/>
      <c r="D318" s="19"/>
      <c r="E318" s="27"/>
      <c r="F318" s="27">
        <v>-30.0</v>
      </c>
      <c r="G318" s="27"/>
      <c r="H318" s="27">
        <v>-21.47</v>
      </c>
      <c r="I318" s="27">
        <v>-70.0</v>
      </c>
      <c r="J318" s="19"/>
      <c r="K318" s="19"/>
      <c r="L318" s="1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26">
        <v>45597.0</v>
      </c>
      <c r="B319" s="19"/>
      <c r="C319" s="27"/>
      <c r="D319" s="19"/>
      <c r="E319" s="27"/>
      <c r="F319" s="27">
        <v>-800.0</v>
      </c>
      <c r="G319" s="27">
        <v>-9.99</v>
      </c>
      <c r="H319" s="19">
        <f>-8.09</f>
        <v>-8.09</v>
      </c>
      <c r="I319" s="27">
        <f>-sum(20,2)</f>
        <v>-22</v>
      </c>
      <c r="J319" s="19"/>
      <c r="K319" s="19"/>
      <c r="L319" s="27">
        <v>-58.32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26">
        <v>45598.0</v>
      </c>
      <c r="B320" s="19"/>
      <c r="C320" s="27"/>
      <c r="D320" s="19"/>
      <c r="E320" s="19"/>
      <c r="F320" s="19"/>
      <c r="G320" s="19"/>
      <c r="H320" s="19"/>
      <c r="I320" s="27"/>
      <c r="J320" s="19"/>
      <c r="K320" s="19"/>
      <c r="L320" s="1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26">
        <v>45599.0</v>
      </c>
      <c r="B321" s="19"/>
      <c r="C321" s="27"/>
      <c r="D321" s="19"/>
      <c r="E321" s="27"/>
      <c r="F321" s="27">
        <v>-4.0</v>
      </c>
      <c r="G321" s="27">
        <v>-55.0</v>
      </c>
      <c r="H321" s="27"/>
      <c r="I321" s="27">
        <f>-10-20-5-30-8</f>
        <v>-73</v>
      </c>
      <c r="J321" s="19"/>
      <c r="K321" s="19"/>
      <c r="L321" s="2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26">
        <v>45600.0</v>
      </c>
      <c r="B322" s="19"/>
      <c r="C322" s="27"/>
      <c r="D322" s="19"/>
      <c r="E322" s="27"/>
      <c r="F322" s="27">
        <v>-62.0</v>
      </c>
      <c r="G322" s="27"/>
      <c r="H322" s="27">
        <f>-38-5.5</f>
        <v>-43.5</v>
      </c>
      <c r="I322" s="27">
        <v>-70.4</v>
      </c>
      <c r="J322" s="19"/>
      <c r="K322" s="27"/>
      <c r="L322" s="2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26">
        <v>45601.0</v>
      </c>
      <c r="B323" s="19"/>
      <c r="C323" s="27"/>
      <c r="D323" s="19"/>
      <c r="E323" s="27"/>
      <c r="F323" s="27"/>
      <c r="G323" s="27"/>
      <c r="H323" s="19">
        <f>-5.45-9.97</f>
        <v>-15.42</v>
      </c>
      <c r="I323" s="19"/>
      <c r="J323" s="19"/>
      <c r="K323" s="27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26">
        <v>45602.0</v>
      </c>
      <c r="B324" s="19"/>
      <c r="C324" s="27"/>
      <c r="D324" s="19"/>
      <c r="E324" s="27">
        <v>-50.0</v>
      </c>
      <c r="F324" s="27"/>
      <c r="G324" s="27">
        <v>-29.17</v>
      </c>
      <c r="H324" s="27"/>
      <c r="I324" s="27"/>
      <c r="J324" s="19"/>
      <c r="K324" s="19"/>
      <c r="L324" s="1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26">
        <v>45603.0</v>
      </c>
      <c r="B325" s="19"/>
      <c r="C325" s="27"/>
      <c r="D325" s="19"/>
      <c r="E325" s="27"/>
      <c r="F325" s="27">
        <v>-15.75</v>
      </c>
      <c r="G325" s="27">
        <v>-14.99</v>
      </c>
      <c r="H325" s="27"/>
      <c r="I325" s="27"/>
      <c r="J325" s="19"/>
      <c r="K325" s="19">
        <f>-sum(1385,756)</f>
        <v>-2141</v>
      </c>
      <c r="L325" s="2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26">
        <v>45604.0</v>
      </c>
      <c r="B326" s="19"/>
      <c r="C326" s="27"/>
      <c r="D326" s="19"/>
      <c r="E326" s="19"/>
      <c r="F326" s="27"/>
      <c r="G326" s="27"/>
      <c r="H326" s="27">
        <f>-sum(33.75,38.75,65.62,42.78)</f>
        <v>-180.9</v>
      </c>
      <c r="I326" s="19"/>
      <c r="J326" s="19"/>
      <c r="K326" s="19"/>
      <c r="L326" s="27">
        <v>-58.32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26">
        <v>45605.0</v>
      </c>
      <c r="B327" s="19"/>
      <c r="C327" s="27"/>
      <c r="D327" s="19"/>
      <c r="E327" s="27"/>
      <c r="F327" s="27">
        <f>-5*2-30</f>
        <v>-40</v>
      </c>
      <c r="G327" s="27"/>
      <c r="H327" s="27"/>
      <c r="I327" s="27">
        <f>-sum(10,14,23,10)</f>
        <v>-57</v>
      </c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26">
        <v>45606.0</v>
      </c>
      <c r="B328" s="19"/>
      <c r="C328" s="27"/>
      <c r="D328" s="19"/>
      <c r="E328" s="27"/>
      <c r="F328" s="27"/>
      <c r="G328" s="27">
        <v>-55.0</v>
      </c>
      <c r="H328" s="27">
        <v>-44.37</v>
      </c>
      <c r="I328" s="27"/>
      <c r="J328" s="19"/>
      <c r="K328" s="27"/>
      <c r="L328" s="2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26">
        <v>45607.0</v>
      </c>
      <c r="B329" s="19"/>
      <c r="C329" s="27"/>
      <c r="D329" s="19"/>
      <c r="E329" s="27"/>
      <c r="F329" s="27"/>
      <c r="G329" s="27">
        <f>-sum(50.3,35.13)</f>
        <v>-85.43</v>
      </c>
      <c r="H329" s="19">
        <f>-sum(4.5,92.51)</f>
        <v>-97.01</v>
      </c>
      <c r="I329" s="27"/>
      <c r="J329" s="19"/>
      <c r="K329" s="27"/>
      <c r="L329" s="2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26">
        <v>45608.0</v>
      </c>
      <c r="B330" s="19"/>
      <c r="C330" s="27"/>
      <c r="D330" s="19"/>
      <c r="E330" s="19"/>
      <c r="F330" s="27"/>
      <c r="G330" s="27"/>
      <c r="H330" s="19"/>
      <c r="I330" s="27">
        <v>-15.9</v>
      </c>
      <c r="J330" s="19"/>
      <c r="K330" s="27"/>
      <c r="L330" s="2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26">
        <v>45609.0</v>
      </c>
      <c r="B331" s="19"/>
      <c r="C331" s="27"/>
      <c r="D331" s="19"/>
      <c r="E331" s="27"/>
      <c r="F331" s="19"/>
      <c r="G331" s="27"/>
      <c r="H331" s="27"/>
      <c r="I331" s="27"/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26">
        <v>45610.0</v>
      </c>
      <c r="B332" s="19"/>
      <c r="C332" s="27"/>
      <c r="D332" s="19"/>
      <c r="E332" s="27">
        <v>-20.0</v>
      </c>
      <c r="F332" s="27">
        <f>-sum(14.99,47.7,0.98)</f>
        <v>-63.67</v>
      </c>
      <c r="G332" s="27"/>
      <c r="H332" s="27">
        <f>-sum(16.12,39.77,14.58,13.45,13.2)</f>
        <v>-97.12</v>
      </c>
      <c r="I332" s="19"/>
      <c r="J332" s="19"/>
      <c r="K332" s="19"/>
      <c r="L332" s="1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26">
        <v>45611.0</v>
      </c>
      <c r="B333" s="19"/>
      <c r="C333" s="27"/>
      <c r="D333" s="19"/>
      <c r="E333" s="27"/>
      <c r="F333" s="27">
        <f>-sum(83.92,30.32)</f>
        <v>-114.24</v>
      </c>
      <c r="G333" s="27"/>
      <c r="H333" s="27">
        <f>-20.7-79.67</f>
        <v>-100.37</v>
      </c>
      <c r="I333" s="27">
        <f>-sum(18,6.57)</f>
        <v>-24.57</v>
      </c>
      <c r="J333" s="19"/>
      <c r="K333" s="19"/>
      <c r="L333" s="27">
        <v>-58.32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26">
        <v>45612.0</v>
      </c>
      <c r="B334" s="19"/>
      <c r="C334" s="27"/>
      <c r="D334" s="19"/>
      <c r="E334" s="27"/>
      <c r="F334" s="27">
        <f>-sum(29,10,6.5)</f>
        <v>-45.5</v>
      </c>
      <c r="G334" s="27"/>
      <c r="H334" s="27">
        <f>-116.29-58.79</f>
        <v>-175.08</v>
      </c>
      <c r="I334" s="27">
        <v>-36.77</v>
      </c>
      <c r="J334" s="19"/>
      <c r="K334" s="19"/>
      <c r="L334" s="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26">
        <v>45613.0</v>
      </c>
      <c r="B335" s="19"/>
      <c r="C335" s="27"/>
      <c r="D335" s="19"/>
      <c r="E335" s="27"/>
      <c r="F335" s="27">
        <v>-161.99</v>
      </c>
      <c r="G335" s="27">
        <v>-55.0</v>
      </c>
      <c r="H335" s="27">
        <v>-30.88</v>
      </c>
      <c r="I335" s="19"/>
      <c r="J335" s="19"/>
      <c r="K335" s="19"/>
      <c r="L335" s="2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26">
        <v>45614.0</v>
      </c>
      <c r="B336" s="19"/>
      <c r="C336" s="27"/>
      <c r="D336" s="19"/>
      <c r="E336" s="27"/>
      <c r="F336" s="27">
        <f>-4.5-300</f>
        <v>-304.5</v>
      </c>
      <c r="G336" s="19"/>
      <c r="H336" s="19"/>
      <c r="I336" s="19"/>
      <c r="J336" s="19"/>
      <c r="K336" s="19"/>
      <c r="L336" s="2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26">
        <v>45615.0</v>
      </c>
      <c r="B337" s="19"/>
      <c r="C337" s="27"/>
      <c r="D337" s="19"/>
      <c r="E337" s="27"/>
      <c r="F337" s="27"/>
      <c r="G337" s="27">
        <f>-34.17-1.2</f>
        <v>-35.37</v>
      </c>
      <c r="H337" s="27">
        <f>-20-6-43.5</f>
        <v>-69.5</v>
      </c>
      <c r="I337" s="27">
        <v>-53.5</v>
      </c>
      <c r="J337" s="19"/>
      <c r="K337" s="19"/>
      <c r="L337" s="2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26">
        <v>45616.0</v>
      </c>
      <c r="B338" s="19"/>
      <c r="C338" s="27"/>
      <c r="D338" s="19"/>
      <c r="E338" s="27"/>
      <c r="F338" s="27"/>
      <c r="G338" s="19"/>
      <c r="H338" s="27">
        <f>-51.4-11.66</f>
        <v>-63.06</v>
      </c>
      <c r="I338" s="27">
        <v>-5.95</v>
      </c>
      <c r="J338" s="19"/>
      <c r="K338" s="19"/>
      <c r="L338" s="27">
        <v>-52.98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26">
        <v>45617.0</v>
      </c>
      <c r="B339" s="19"/>
      <c r="C339" s="27"/>
      <c r="D339" s="19"/>
      <c r="E339" s="27"/>
      <c r="F339" s="27"/>
      <c r="G339" s="27"/>
      <c r="H339" s="19"/>
      <c r="I339" s="27"/>
      <c r="J339" s="19"/>
      <c r="K339" s="19"/>
      <c r="L339" s="2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26">
        <v>45618.0</v>
      </c>
      <c r="B340" s="19"/>
      <c r="C340" s="27"/>
      <c r="D340" s="19"/>
      <c r="E340" s="19"/>
      <c r="F340" s="27"/>
      <c r="G340" s="27">
        <v>-10.2</v>
      </c>
      <c r="H340" s="27">
        <v>-61.15</v>
      </c>
      <c r="I340" s="27">
        <f>-17.14-6.25-33.26</f>
        <v>-56.65</v>
      </c>
      <c r="J340" s="19"/>
      <c r="K340" s="19"/>
      <c r="L340" s="27">
        <v>-58.32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26">
        <v>45619.0</v>
      </c>
      <c r="B341" s="19"/>
      <c r="C341" s="27"/>
      <c r="D341" s="19"/>
      <c r="E341" s="27"/>
      <c r="F341" s="27"/>
      <c r="G341" s="27"/>
      <c r="H341" s="27">
        <v>-36.6</v>
      </c>
      <c r="I341" s="27">
        <f>-57.34-9.13</f>
        <v>-66.47</v>
      </c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26">
        <v>45620.0</v>
      </c>
      <c r="B342" s="19"/>
      <c r="C342" s="27"/>
      <c r="D342" s="19"/>
      <c r="E342" s="27"/>
      <c r="F342" s="27">
        <v>-136.5</v>
      </c>
      <c r="G342" s="27">
        <f>-60-55</f>
        <v>-115</v>
      </c>
      <c r="H342" s="27">
        <v>-35.64</v>
      </c>
      <c r="I342" s="27"/>
      <c r="J342" s="19"/>
      <c r="K342" s="19"/>
      <c r="L342" s="2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26">
        <v>45621.0</v>
      </c>
      <c r="B343" s="19"/>
      <c r="C343" s="27"/>
      <c r="D343" s="19"/>
      <c r="E343" s="19"/>
      <c r="F343" s="27">
        <v>-272.0</v>
      </c>
      <c r="G343" s="27">
        <f>-64.99-50.3-35.13</f>
        <v>-150.42</v>
      </c>
      <c r="H343" s="27"/>
      <c r="I343" s="19"/>
      <c r="J343" s="19"/>
      <c r="K343" s="19"/>
      <c r="L343" s="2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26">
        <v>45622.0</v>
      </c>
      <c r="B344" s="19"/>
      <c r="C344" s="27"/>
      <c r="D344" s="19"/>
      <c r="E344" s="27"/>
      <c r="F344" s="27">
        <v>-112.95</v>
      </c>
      <c r="G344" s="39">
        <v>-4.78</v>
      </c>
      <c r="H344" s="27">
        <f>-11.65-41.5-14.84</f>
        <v>-67.99</v>
      </c>
      <c r="I344" s="27"/>
      <c r="J344" s="19"/>
      <c r="K344" s="19"/>
      <c r="L344" s="1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26">
        <v>45623.0</v>
      </c>
      <c r="B345" s="19"/>
      <c r="C345" s="27"/>
      <c r="D345" s="19"/>
      <c r="E345" s="27"/>
      <c r="F345" s="19"/>
      <c r="G345" s="27"/>
      <c r="H345" s="27"/>
      <c r="I345" s="27"/>
      <c r="J345" s="19"/>
      <c r="K345" s="19"/>
      <c r="L345" s="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26">
        <v>45624.0</v>
      </c>
      <c r="B346" s="19"/>
      <c r="C346" s="27"/>
      <c r="D346" s="19"/>
      <c r="E346" s="27"/>
      <c r="F346" s="27">
        <f>-25-13.82-75-12</f>
        <v>-125.82</v>
      </c>
      <c r="G346" s="27">
        <v>-46.0</v>
      </c>
      <c r="H346" s="27">
        <f>-32-60.45-7.27-60.92</f>
        <v>-160.64</v>
      </c>
      <c r="I346" s="27">
        <v>-36.1</v>
      </c>
      <c r="J346" s="19"/>
      <c r="K346" s="19"/>
      <c r="L346" s="1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26">
        <v>45625.0</v>
      </c>
      <c r="B347" s="19"/>
      <c r="C347" s="27"/>
      <c r="D347" s="19"/>
      <c r="E347" s="27">
        <v>-906.9</v>
      </c>
      <c r="F347" s="27">
        <v>-204.8</v>
      </c>
      <c r="G347" s="27"/>
      <c r="H347" s="19">
        <f>-25.45-228.36</f>
        <v>-253.81</v>
      </c>
      <c r="I347" s="27">
        <f>-84-25</f>
        <v>-109</v>
      </c>
      <c r="J347" s="19"/>
      <c r="K347" s="19"/>
      <c r="L347" s="27">
        <v>-58.32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26">
        <v>45626.0</v>
      </c>
      <c r="B348" s="19"/>
      <c r="C348" s="27"/>
      <c r="D348" s="19"/>
      <c r="E348" s="27"/>
      <c r="F348" s="19"/>
      <c r="G348" s="27"/>
      <c r="H348" s="27">
        <v>-8.0</v>
      </c>
      <c r="I348" s="27">
        <v>-2.9</v>
      </c>
      <c r="J348" s="19"/>
      <c r="K348" s="19"/>
      <c r="L348" s="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26">
        <v>45627.0</v>
      </c>
      <c r="B349" s="19"/>
      <c r="C349" s="27"/>
      <c r="D349" s="19"/>
      <c r="E349" s="19"/>
      <c r="F349" s="27"/>
      <c r="G349" s="27">
        <f>-30-9.99</f>
        <v>-39.99</v>
      </c>
      <c r="H349" s="27">
        <v>-32.7</v>
      </c>
      <c r="I349" s="19">
        <f>-10-6-19.9-6</f>
        <v>-41.9</v>
      </c>
      <c r="J349" s="19"/>
      <c r="K349" s="27"/>
      <c r="L349" s="2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26">
        <v>45628.0</v>
      </c>
      <c r="B350" s="19"/>
      <c r="C350" s="27"/>
      <c r="D350" s="19"/>
      <c r="E350" s="27"/>
      <c r="F350" s="27"/>
      <c r="G350" s="27">
        <v>-470.61</v>
      </c>
      <c r="H350" s="27"/>
      <c r="I350" s="27"/>
      <c r="J350" s="19"/>
      <c r="K350" s="19"/>
      <c r="L350" s="2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26">
        <v>45629.0</v>
      </c>
      <c r="B351" s="19"/>
      <c r="C351" s="27"/>
      <c r="D351" s="19"/>
      <c r="E351" s="27"/>
      <c r="F351" s="27">
        <v>-800.0</v>
      </c>
      <c r="G351" s="27"/>
      <c r="H351" s="27">
        <f>-3.59-42.72-35.5-0.2</f>
        <v>-82.01</v>
      </c>
      <c r="I351" s="27"/>
      <c r="J351" s="19"/>
      <c r="K351" s="27">
        <v>-1500.0</v>
      </c>
      <c r="L351" s="1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26">
        <v>45630.0</v>
      </c>
      <c r="B352" s="19"/>
      <c r="C352" s="27"/>
      <c r="D352" s="19"/>
      <c r="E352" s="27">
        <v>-20.0</v>
      </c>
      <c r="F352" s="27">
        <v>-7.0</v>
      </c>
      <c r="G352" s="27">
        <v>-144.67</v>
      </c>
      <c r="H352" s="19"/>
      <c r="I352" s="19"/>
      <c r="J352" s="19"/>
      <c r="K352" s="19"/>
      <c r="L352" s="1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26">
        <v>45631.0</v>
      </c>
      <c r="B353" s="19"/>
      <c r="C353" s="27"/>
      <c r="D353" s="19"/>
      <c r="E353" s="27"/>
      <c r="F353" s="27">
        <f>-81.11-48.1</f>
        <v>-129.21</v>
      </c>
      <c r="G353" s="27">
        <v>-29.17</v>
      </c>
      <c r="H353" s="27">
        <v>-49.67</v>
      </c>
      <c r="I353" s="19"/>
      <c r="J353" s="19"/>
      <c r="K353" s="19"/>
      <c r="L353" s="2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26">
        <v>45632.0</v>
      </c>
      <c r="B354" s="19"/>
      <c r="C354" s="27"/>
      <c r="D354" s="19"/>
      <c r="E354" s="19"/>
      <c r="F354" s="27">
        <f>-40.5-61.1</f>
        <v>-101.6</v>
      </c>
      <c r="G354" s="27">
        <v>-0.2</v>
      </c>
      <c r="H354" s="19"/>
      <c r="I354" s="27">
        <v>-9.95</v>
      </c>
      <c r="J354" s="19"/>
      <c r="K354" s="19">
        <f>-1385-756</f>
        <v>-2141</v>
      </c>
      <c r="L354" s="1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26">
        <v>45633.0</v>
      </c>
      <c r="B355" s="19"/>
      <c r="C355" s="27"/>
      <c r="D355" s="19"/>
      <c r="E355" s="27"/>
      <c r="F355" s="27"/>
      <c r="G355" s="27">
        <v>-14.99</v>
      </c>
      <c r="H355" s="19">
        <f>-14.97-8.6-13.7-5.57</f>
        <v>-42.84</v>
      </c>
      <c r="I355" s="27"/>
      <c r="J355" s="19"/>
      <c r="K355" s="19"/>
      <c r="L355" s="27">
        <v>-58.32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26">
        <v>45634.0</v>
      </c>
      <c r="B356" s="19"/>
      <c r="C356" s="27"/>
      <c r="D356" s="19"/>
      <c r="E356" s="27"/>
      <c r="F356" s="19"/>
      <c r="G356" s="27">
        <v>-55.0</v>
      </c>
      <c r="H356" s="27">
        <f>-21.19-29.26-12.3-5</f>
        <v>-67.75</v>
      </c>
      <c r="I356" s="27">
        <f>-23.8-5.5</f>
        <v>-29.3</v>
      </c>
      <c r="J356" s="19"/>
      <c r="K356" s="19"/>
      <c r="L356" s="2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26">
        <v>45635.0</v>
      </c>
      <c r="B357" s="19"/>
      <c r="C357" s="27"/>
      <c r="D357" s="19"/>
      <c r="E357" s="27">
        <v>-50.0</v>
      </c>
      <c r="F357" s="27"/>
      <c r="G357" s="27">
        <f>-21.63-35.13</f>
        <v>-56.76</v>
      </c>
      <c r="H357" s="27">
        <f>-13.45-49.43</f>
        <v>-62.88</v>
      </c>
      <c r="I357" s="19"/>
      <c r="J357" s="19"/>
      <c r="K357" s="27"/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26">
        <v>45636.0</v>
      </c>
      <c r="B358" s="19"/>
      <c r="C358" s="27"/>
      <c r="D358" s="19"/>
      <c r="E358" s="27"/>
      <c r="F358" s="19"/>
      <c r="G358" s="27"/>
      <c r="H358" s="27">
        <f>-79.2-7.91-26.56-12.28-17.85</f>
        <v>-143.8</v>
      </c>
      <c r="I358" s="27"/>
      <c r="J358" s="19"/>
      <c r="K358" s="19"/>
      <c r="L358" s="1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26">
        <v>45637.0</v>
      </c>
      <c r="B359" s="19"/>
      <c r="C359" s="27"/>
      <c r="D359" s="19"/>
      <c r="E359" s="27"/>
      <c r="F359" s="27"/>
      <c r="G359" s="27"/>
      <c r="H359" s="19"/>
      <c r="I359" s="27">
        <v>-57.35</v>
      </c>
      <c r="J359" s="19"/>
      <c r="K359" s="19"/>
      <c r="L359" s="1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26">
        <v>45638.0</v>
      </c>
      <c r="B360" s="19"/>
      <c r="C360" s="27"/>
      <c r="D360" s="19"/>
      <c r="E360" s="19"/>
      <c r="F360" s="27">
        <v>-35.0</v>
      </c>
      <c r="G360" s="19"/>
      <c r="H360" s="27">
        <v>-35.4</v>
      </c>
      <c r="I360" s="19"/>
      <c r="J360" s="19"/>
      <c r="K360" s="19"/>
      <c r="L360" s="1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26">
        <v>45639.0</v>
      </c>
      <c r="B361" s="19"/>
      <c r="C361" s="27"/>
      <c r="D361" s="19"/>
      <c r="E361" s="27"/>
      <c r="F361" s="27">
        <v>-34.0</v>
      </c>
      <c r="G361" s="27"/>
      <c r="H361" s="27">
        <v>-50.95</v>
      </c>
      <c r="I361" s="19">
        <f>-2.99-7.13-14.21-30.45</f>
        <v>-54.78</v>
      </c>
      <c r="J361" s="19"/>
      <c r="K361" s="19"/>
      <c r="L361" s="27">
        <f>-58.32-13.08</f>
        <v>-71.4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26">
        <v>45640.0</v>
      </c>
      <c r="B362" s="19"/>
      <c r="C362" s="27"/>
      <c r="D362" s="19"/>
      <c r="E362" s="19"/>
      <c r="F362" s="27"/>
      <c r="G362" s="19"/>
      <c r="H362" s="27">
        <f>-1.56-12.6</f>
        <v>-14.16</v>
      </c>
      <c r="I362" s="27"/>
      <c r="J362" s="19"/>
      <c r="K362" s="19"/>
      <c r="L362" s="1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26">
        <v>45641.0</v>
      </c>
      <c r="B363" s="19"/>
      <c r="C363" s="27"/>
      <c r="D363" s="19"/>
      <c r="E363" s="19"/>
      <c r="F363" s="27"/>
      <c r="G363" s="27">
        <v>-55.0</v>
      </c>
      <c r="H363" s="27">
        <v>-37.75</v>
      </c>
      <c r="I363" s="19"/>
      <c r="J363" s="19"/>
      <c r="K363" s="19"/>
      <c r="L363" s="2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26">
        <v>45642.0</v>
      </c>
      <c r="B364" s="19"/>
      <c r="C364" s="27"/>
      <c r="D364" s="19"/>
      <c r="E364" s="19"/>
      <c r="F364" s="19"/>
      <c r="G364" s="19"/>
      <c r="H364" s="19"/>
      <c r="I364" s="19"/>
      <c r="J364" s="19"/>
      <c r="K364" s="19"/>
      <c r="L364" s="2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26">
        <v>45643.0</v>
      </c>
      <c r="B365" s="19"/>
      <c r="C365" s="27"/>
      <c r="D365" s="19"/>
      <c r="E365" s="19"/>
      <c r="F365" s="19"/>
      <c r="G365" s="27">
        <v>-34.68</v>
      </c>
      <c r="H365" s="19">
        <f>-17.55-18-5.98-13.9-13.49</f>
        <v>-68.92</v>
      </c>
      <c r="I365" s="19">
        <f>-6.59</f>
        <v>-6.59</v>
      </c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26">
        <v>45644.0</v>
      </c>
      <c r="B366" s="19"/>
      <c r="C366" s="27"/>
      <c r="D366" s="19"/>
      <c r="E366" s="19"/>
      <c r="F366" s="27">
        <v>200</v>
      </c>
      <c r="G366" s="27"/>
      <c r="H366" s="27">
        <v>-50.03</v>
      </c>
      <c r="I366" s="19"/>
      <c r="J366" s="19"/>
      <c r="K366" s="19"/>
      <c r="L366" s="1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26">
        <v>45645.0</v>
      </c>
      <c r="B367" s="19"/>
      <c r="C367" s="27"/>
      <c r="D367" s="19"/>
      <c r="E367" s="27"/>
      <c r="F367" s="27">
        <v>-100.09</v>
      </c>
      <c r="G367" s="27">
        <v>-1.21</v>
      </c>
      <c r="H367" s="27">
        <f>-2.2-17.8-16.11-6+10</f>
        <v>-32.11</v>
      </c>
      <c r="I367" s="19"/>
      <c r="J367" s="19"/>
      <c r="K367" s="19"/>
      <c r="L367" s="27">
        <v>-13.26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26">
        <v>45646.0</v>
      </c>
      <c r="B368" s="19"/>
      <c r="C368" s="27"/>
      <c r="D368" s="19"/>
      <c r="E368" s="27">
        <v>-20.0</v>
      </c>
      <c r="F368" s="27">
        <v>-7.0</v>
      </c>
      <c r="G368" s="27">
        <v>-431.0</v>
      </c>
      <c r="H368" s="19"/>
      <c r="I368" s="27">
        <f>-65.7-6.29</f>
        <v>-71.99</v>
      </c>
      <c r="J368" s="19"/>
      <c r="K368" s="19"/>
      <c r="L368" s="27">
        <v>-58.32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26">
        <v>45647.0</v>
      </c>
      <c r="B369" s="19"/>
      <c r="C369" s="27"/>
      <c r="D369" s="19"/>
      <c r="E369" s="27"/>
      <c r="F369" s="27">
        <f>-10-45.49</f>
        <v>-55.49</v>
      </c>
      <c r="G369" s="27"/>
      <c r="H369" s="27">
        <f>-13.74-106.8</f>
        <v>-120.54</v>
      </c>
      <c r="I369" s="19">
        <f>-72.8-58.85-5.56</f>
        <v>-137.21</v>
      </c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26">
        <v>45648.0</v>
      </c>
      <c r="B370" s="19"/>
      <c r="C370" s="27"/>
      <c r="D370" s="19"/>
      <c r="E370" s="27"/>
      <c r="F370" s="27">
        <v>-10.0</v>
      </c>
      <c r="G370" s="27">
        <v>-55.0</v>
      </c>
      <c r="H370" s="27">
        <v>-28.7</v>
      </c>
      <c r="I370" s="27">
        <f>-10-32.22</f>
        <v>-42.22</v>
      </c>
      <c r="J370" s="19"/>
      <c r="K370" s="19"/>
      <c r="L370" s="2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26">
        <v>45649.0</v>
      </c>
      <c r="B371" s="19"/>
      <c r="C371" s="27"/>
      <c r="D371" s="19"/>
      <c r="E371" s="19"/>
      <c r="F371" s="19">
        <v>18.14</v>
      </c>
      <c r="G371" s="27">
        <f>-10.2-40.2-35.13</f>
        <v>-85.53</v>
      </c>
      <c r="H371" s="27">
        <v>-61.92</v>
      </c>
      <c r="I371" s="19"/>
      <c r="J371" s="19"/>
      <c r="K371" s="19"/>
      <c r="L371" s="27">
        <v>-6.63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26">
        <v>45650.0</v>
      </c>
      <c r="B372" s="19"/>
      <c r="C372" s="27"/>
      <c r="D372" s="19"/>
      <c r="E372" s="27">
        <v>-10.0</v>
      </c>
      <c r="F372" s="19"/>
      <c r="G372" s="19"/>
      <c r="H372" s="27">
        <f>-14.7-1.67-8.66</f>
        <v>-25.03</v>
      </c>
      <c r="I372" s="27"/>
      <c r="J372" s="19"/>
      <c r="K372" s="19"/>
      <c r="L372" s="1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26">
        <v>45651.0</v>
      </c>
      <c r="B373" s="19"/>
      <c r="C373" s="27"/>
      <c r="D373" s="19"/>
      <c r="E373" s="27"/>
      <c r="F373" s="19"/>
      <c r="G373" s="27"/>
      <c r="H373" s="27"/>
      <c r="I373" s="19"/>
      <c r="J373" s="19"/>
      <c r="K373" s="19"/>
      <c r="L373" s="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26">
        <v>45652.0</v>
      </c>
      <c r="B374" s="19"/>
      <c r="C374" s="27"/>
      <c r="D374" s="19"/>
      <c r="E374" s="19"/>
      <c r="F374" s="27">
        <f>-19.99-29.99</f>
        <v>-49.98</v>
      </c>
      <c r="G374" s="19"/>
      <c r="H374" s="19">
        <f>-6.35-9.18-18.83</f>
        <v>-34.36</v>
      </c>
      <c r="I374" s="19"/>
      <c r="J374" s="19"/>
      <c r="K374" s="19"/>
      <c r="L374" s="1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26">
        <v>45653.0</v>
      </c>
      <c r="B375" s="19"/>
      <c r="C375" s="27"/>
      <c r="D375" s="19"/>
      <c r="E375" s="27"/>
      <c r="F375" s="27">
        <v>-15.0</v>
      </c>
      <c r="G375" s="27">
        <v>-64.0</v>
      </c>
      <c r="H375" s="27">
        <f>-55.25-8.85-65.5-29.54</f>
        <v>-159.14</v>
      </c>
      <c r="I375" s="27"/>
      <c r="J375" s="19"/>
      <c r="K375" s="27"/>
      <c r="L375" s="27">
        <v>-58.32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26">
        <v>45654.0</v>
      </c>
      <c r="B376" s="19"/>
      <c r="C376" s="27"/>
      <c r="D376" s="19"/>
      <c r="E376" s="19"/>
      <c r="F376" s="19"/>
      <c r="G376" s="27">
        <v>-46.0</v>
      </c>
      <c r="H376" s="19">
        <f>-41.15-54.97</f>
        <v>-96.12</v>
      </c>
      <c r="I376" s="19">
        <f>-30.48-41.66-32.52</f>
        <v>-104.66</v>
      </c>
      <c r="J376" s="27"/>
      <c r="K376" s="27"/>
      <c r="L376" s="1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26">
        <v>45655.0</v>
      </c>
      <c r="B377" s="19"/>
      <c r="C377" s="27"/>
      <c r="D377" s="19"/>
      <c r="E377" s="19"/>
      <c r="F377" s="19"/>
      <c r="G377" s="27">
        <v>-55.0</v>
      </c>
      <c r="H377" s="19"/>
      <c r="I377" s="27">
        <f>-23.5-34</f>
        <v>-57.5</v>
      </c>
      <c r="J377" s="19"/>
      <c r="K377" s="19"/>
      <c r="L377" s="2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26">
        <v>45656.0</v>
      </c>
      <c r="B378" s="19"/>
      <c r="C378" s="27"/>
      <c r="D378" s="19"/>
      <c r="E378" s="19"/>
      <c r="F378" s="19"/>
      <c r="G378" s="19"/>
      <c r="H378" s="27">
        <v>-25.57</v>
      </c>
      <c r="I378" s="19"/>
      <c r="J378" s="19"/>
      <c r="K378" s="19"/>
      <c r="L378" s="1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26">
        <v>45657.0</v>
      </c>
      <c r="B379" s="19"/>
      <c r="C379" s="27"/>
      <c r="D379" s="19"/>
      <c r="E379" s="27"/>
      <c r="F379" s="19"/>
      <c r="G379" s="19"/>
      <c r="H379" s="19">
        <f>-3.48-13.38</f>
        <v>-16.86</v>
      </c>
      <c r="I379" s="27">
        <v>-23.5</v>
      </c>
      <c r="J379" s="27">
        <v>-5000.0</v>
      </c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26"/>
      <c r="B380" s="19"/>
      <c r="C380" s="19"/>
      <c r="D380" s="19"/>
      <c r="E380" s="19"/>
      <c r="F380" s="19"/>
      <c r="G380" s="19"/>
      <c r="H380" s="19"/>
      <c r="I380" s="19"/>
      <c r="J380" s="19"/>
      <c r="K380" s="27"/>
      <c r="L380" s="1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</sheetData>
  <mergeCells count="2">
    <mergeCell ref="O52:O54"/>
    <mergeCell ref="O57:O59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5"/>
    </row>
    <row r="2">
      <c r="A2" s="36"/>
      <c r="B2" s="37">
        <f t="shared" ref="B2:E2" si="1">sum(B3:B1000)</f>
        <v>412.55</v>
      </c>
      <c r="C2" s="37">
        <f t="shared" si="1"/>
        <v>83017.75</v>
      </c>
      <c r="D2" s="37">
        <f t="shared" si="1"/>
        <v>28504.1</v>
      </c>
      <c r="E2" s="37">
        <f t="shared" si="1"/>
        <v>7057</v>
      </c>
      <c r="F2" s="24"/>
    </row>
    <row r="3">
      <c r="A3" s="29" t="s">
        <v>17</v>
      </c>
      <c r="B3" s="27">
        <f>sum(133.02,1.24)</f>
        <v>134.26</v>
      </c>
      <c r="C3" s="27">
        <f>sum(200,3043.41*2)</f>
        <v>6286.82</v>
      </c>
      <c r="D3" s="27">
        <f>sum(2534.19,648.33)</f>
        <v>3182.52</v>
      </c>
      <c r="E3" s="27">
        <f t="shared" ref="E3:E5" si="2">sum(375.41*2,110.41*2)</f>
        <v>971.64</v>
      </c>
      <c r="F3" s="19">
        <f t="shared" ref="F3:F14" si="3">sum(B3:E3)</f>
        <v>10575.24</v>
      </c>
    </row>
    <row r="4">
      <c r="A4" s="29" t="s">
        <v>18</v>
      </c>
      <c r="B4" s="27">
        <f>sum(141.7,1.32)</f>
        <v>143.02</v>
      </c>
      <c r="C4" s="27">
        <f>sum(568.94,1501.5,3043.41)</f>
        <v>5113.85</v>
      </c>
      <c r="D4" s="27">
        <f>648.33*2</f>
        <v>1296.66</v>
      </c>
      <c r="E4" s="27">
        <f t="shared" si="2"/>
        <v>971.64</v>
      </c>
      <c r="F4" s="19">
        <f t="shared" si="3"/>
        <v>7525.17</v>
      </c>
    </row>
    <row r="5">
      <c r="A5" s="29" t="s">
        <v>19</v>
      </c>
      <c r="B5" s="27">
        <v>135.27</v>
      </c>
      <c r="C5" s="27">
        <f t="shared" ref="C5:C6" si="4">3043.41*2</f>
        <v>6086.82</v>
      </c>
      <c r="D5" s="19">
        <f>sum(648.33*2)</f>
        <v>1296.66</v>
      </c>
      <c r="E5" s="27">
        <f t="shared" si="2"/>
        <v>971.64</v>
      </c>
      <c r="F5" s="19">
        <f t="shared" si="3"/>
        <v>8490.39</v>
      </c>
    </row>
    <row r="6">
      <c r="A6" s="29" t="s">
        <v>20</v>
      </c>
      <c r="B6" s="27"/>
      <c r="C6" s="27">
        <f t="shared" si="4"/>
        <v>6086.82</v>
      </c>
      <c r="D6" s="19">
        <f>sum(684.42*2)</f>
        <v>1368.84</v>
      </c>
      <c r="E6" s="27">
        <f>sum(346.53*2,101.92*2)</f>
        <v>896.9</v>
      </c>
      <c r="F6" s="19">
        <f t="shared" si="3"/>
        <v>8352.56</v>
      </c>
    </row>
    <row r="7">
      <c r="A7" s="29" t="s">
        <v>21</v>
      </c>
      <c r="B7" s="27"/>
      <c r="C7" s="27">
        <f>3043.41*3</f>
        <v>9130.23</v>
      </c>
      <c r="D7">
        <f>sum(684.42*2,815.89)</f>
        <v>2184.73</v>
      </c>
      <c r="E7" s="27">
        <f>sum(346.53*3,101.92*3)</f>
        <v>1345.35</v>
      </c>
      <c r="F7" s="19">
        <f t="shared" si="3"/>
        <v>12660.31</v>
      </c>
    </row>
    <row r="8">
      <c r="A8" s="29" t="s">
        <v>22</v>
      </c>
      <c r="B8" s="27"/>
      <c r="C8" s="27">
        <f>3151.01*2</f>
        <v>6302.02</v>
      </c>
      <c r="D8" s="27">
        <f>sum(684.42*2)</f>
        <v>1368.84</v>
      </c>
      <c r="E8" s="27">
        <f t="shared" ref="E8:E9" si="5">sum(346.53*2,101.92*2)</f>
        <v>896.9</v>
      </c>
      <c r="F8" s="19">
        <f t="shared" si="3"/>
        <v>8567.76</v>
      </c>
    </row>
    <row r="9">
      <c r="A9" s="29" t="s">
        <v>23</v>
      </c>
      <c r="B9" s="27"/>
      <c r="C9" s="27">
        <f t="shared" ref="C9:C11" si="6">3245.01*2</f>
        <v>6490.02</v>
      </c>
      <c r="D9" s="27">
        <f>sum(684.42*2,312.32)</f>
        <v>1681.16</v>
      </c>
      <c r="E9" s="19">
        <f t="shared" si="5"/>
        <v>896.9</v>
      </c>
      <c r="F9" s="19">
        <f t="shared" si="3"/>
        <v>9068.08</v>
      </c>
    </row>
    <row r="10">
      <c r="A10" s="29" t="s">
        <v>24</v>
      </c>
      <c r="B10" s="27"/>
      <c r="C10" s="19">
        <f t="shared" si="6"/>
        <v>6490.02</v>
      </c>
      <c r="D10" s="27">
        <f>sum(1557.6*2)</f>
        <v>3115.2</v>
      </c>
      <c r="E10" s="27"/>
      <c r="F10" s="19">
        <f t="shared" si="3"/>
        <v>9605.22</v>
      </c>
    </row>
    <row r="11">
      <c r="A11" s="29" t="s">
        <v>25</v>
      </c>
      <c r="B11" s="27"/>
      <c r="C11" s="27">
        <f t="shared" si="6"/>
        <v>6490.02</v>
      </c>
      <c r="D11" s="27">
        <f>1557.6*2</f>
        <v>3115.2</v>
      </c>
      <c r="E11" s="27"/>
      <c r="F11" s="19">
        <f t="shared" si="3"/>
        <v>9605.22</v>
      </c>
    </row>
    <row r="12">
      <c r="A12" s="29" t="s">
        <v>26</v>
      </c>
      <c r="B12" s="27"/>
      <c r="C12" s="19">
        <f>3291.24+3302.3+3361.06</f>
        <v>9954.6</v>
      </c>
      <c r="D12" s="27">
        <f>1557.6*3</f>
        <v>4672.8</v>
      </c>
      <c r="E12" s="27"/>
      <c r="F12" s="19">
        <f t="shared" si="3"/>
        <v>14627.4</v>
      </c>
    </row>
    <row r="13">
      <c r="A13" s="29" t="s">
        <v>27</v>
      </c>
      <c r="B13" s="27"/>
      <c r="C13" s="19">
        <f>3331.68*2</f>
        <v>6663.36</v>
      </c>
      <c r="D13" s="27">
        <f>sum(100.45,8.2,1557.6,12.3,1246.28)</f>
        <v>2924.83</v>
      </c>
      <c r="E13" s="27">
        <v>106.03</v>
      </c>
      <c r="F13" s="19">
        <f t="shared" si="3"/>
        <v>9694.22</v>
      </c>
    </row>
    <row r="14">
      <c r="A14" s="29" t="s">
        <v>28</v>
      </c>
      <c r="B14" s="27"/>
      <c r="C14" s="27">
        <f>4407.56+3515.61</f>
        <v>7923.17</v>
      </c>
      <c r="D14" s="27">
        <f>28.7+2239.26+28.7</f>
        <v>2296.66</v>
      </c>
      <c r="E14" s="27"/>
      <c r="F14" s="19">
        <f t="shared" si="3"/>
        <v>10219.83</v>
      </c>
    </row>
    <row r="15">
      <c r="F15" s="19"/>
    </row>
    <row r="16">
      <c r="F16" s="19"/>
    </row>
    <row r="17">
      <c r="F17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1" max="11" width="9.13"/>
    <col customWidth="1" min="12" max="12" width="9.88"/>
    <col customWidth="1" min="14" max="14" width="14.13"/>
  </cols>
  <sheetData>
    <row r="1" ht="18.0" customHeight="1">
      <c r="A1" s="40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/>
      <c r="N1" s="7"/>
      <c r="O1" s="8"/>
      <c r="P1" s="8"/>
      <c r="Q1" s="8"/>
      <c r="R1" s="7"/>
      <c r="S1" s="7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41"/>
      <c r="B2" s="10">
        <f t="shared" ref="B2:B14" si="3">SUM(E2:L2)</f>
        <v>-123129.62</v>
      </c>
      <c r="C2" s="11">
        <f>SUM(C3:C14)</f>
        <v>144448.9</v>
      </c>
      <c r="D2" s="12">
        <f t="shared" ref="D2:D14" si="4">SUM(B2,C2)</f>
        <v>21319.28</v>
      </c>
      <c r="E2" s="13">
        <f t="shared" ref="E2:H2" si="1">SUM(E15:E1014)</f>
        <v>-8027.07</v>
      </c>
      <c r="F2" s="13">
        <f t="shared" si="1"/>
        <v>-14490.58</v>
      </c>
      <c r="G2" s="13">
        <f t="shared" si="1"/>
        <v>-16218.56</v>
      </c>
      <c r="H2" s="13">
        <f t="shared" si="1"/>
        <v>-16387.07</v>
      </c>
      <c r="I2" s="13">
        <f>SUM(I16:I1014)</f>
        <v>-6975.84</v>
      </c>
      <c r="J2" s="13">
        <f t="shared" ref="J2:L2" si="2">SUM(J15:J1014)</f>
        <v>-20704.7</v>
      </c>
      <c r="K2" s="13">
        <f t="shared" si="2"/>
        <v>-32070</v>
      </c>
      <c r="L2" s="14">
        <f t="shared" si="2"/>
        <v>-8255.8</v>
      </c>
      <c r="M2" s="15"/>
      <c r="N2" s="15"/>
      <c r="O2" s="8"/>
      <c r="P2" s="8"/>
      <c r="Q2" s="8"/>
      <c r="R2" s="16"/>
      <c r="S2" s="16"/>
      <c r="T2" s="1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17">
        <v>44927.0</v>
      </c>
      <c r="B3" s="10">
        <f t="shared" si="3"/>
        <v>-5886.78</v>
      </c>
      <c r="C3" s="18">
        <f>'2023_income'!F3</f>
        <v>12655.27</v>
      </c>
      <c r="D3" s="12">
        <f t="shared" si="4"/>
        <v>6768.49</v>
      </c>
      <c r="E3" s="19">
        <f t="shared" ref="E3:H3" si="5">sum(E15:E45)</f>
        <v>-20</v>
      </c>
      <c r="F3" s="19">
        <f t="shared" si="5"/>
        <v>-295.51</v>
      </c>
      <c r="G3" s="19">
        <f t="shared" si="5"/>
        <v>-612.07</v>
      </c>
      <c r="H3" s="19">
        <f t="shared" si="5"/>
        <v>-1289.48</v>
      </c>
      <c r="I3" s="19">
        <f>sum(I16:I45)</f>
        <v>-665.32</v>
      </c>
      <c r="J3" s="19">
        <f t="shared" ref="J3:L3" si="6">sum(J15:J45)</f>
        <v>0</v>
      </c>
      <c r="K3" s="19">
        <f t="shared" si="6"/>
        <v>-2540</v>
      </c>
      <c r="L3" s="20">
        <f t="shared" si="6"/>
        <v>-464.4</v>
      </c>
      <c r="M3" s="28"/>
      <c r="N3" s="2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7">
        <v>44958.0</v>
      </c>
      <c r="B4" s="10">
        <f t="shared" si="3"/>
        <v>-7471.21</v>
      </c>
      <c r="C4" s="18">
        <f>'2023_income'!F4</f>
        <v>8569.45</v>
      </c>
      <c r="D4" s="12">
        <f t="shared" si="4"/>
        <v>1098.24</v>
      </c>
      <c r="E4" s="19">
        <f t="shared" ref="E4:L4" si="7">SUM(E46:E73)</f>
        <v>0</v>
      </c>
      <c r="F4" s="19">
        <f t="shared" si="7"/>
        <v>-677.03</v>
      </c>
      <c r="G4" s="19">
        <f t="shared" si="7"/>
        <v>-1338.47</v>
      </c>
      <c r="H4" s="19">
        <f t="shared" si="7"/>
        <v>-1768.98</v>
      </c>
      <c r="I4" s="19">
        <f t="shared" si="7"/>
        <v>-433.3</v>
      </c>
      <c r="J4" s="19">
        <f t="shared" si="7"/>
        <v>0</v>
      </c>
      <c r="K4" s="19">
        <f t="shared" si="7"/>
        <v>-2540</v>
      </c>
      <c r="L4" s="20">
        <f t="shared" si="7"/>
        <v>-713.43</v>
      </c>
      <c r="M4" s="28"/>
      <c r="N4" s="2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7">
        <v>44986.0</v>
      </c>
      <c r="B5" s="10">
        <f t="shared" si="3"/>
        <v>-10331.23</v>
      </c>
      <c r="C5" s="18">
        <f>'2023_income'!F5</f>
        <v>11967.09</v>
      </c>
      <c r="D5" s="12">
        <f t="shared" si="4"/>
        <v>1635.86</v>
      </c>
      <c r="E5" s="19">
        <f t="shared" ref="E5:L5" si="8">sum(E74:E104)</f>
        <v>-1914.72</v>
      </c>
      <c r="F5" s="19">
        <f t="shared" si="8"/>
        <v>-345.12</v>
      </c>
      <c r="G5" s="19">
        <f t="shared" si="8"/>
        <v>-3050.02</v>
      </c>
      <c r="H5" s="19">
        <f t="shared" si="8"/>
        <v>-1059.23</v>
      </c>
      <c r="I5" s="19">
        <f t="shared" si="8"/>
        <v>-512.64</v>
      </c>
      <c r="J5" s="19">
        <f t="shared" si="8"/>
        <v>0</v>
      </c>
      <c r="K5" s="19">
        <f t="shared" si="8"/>
        <v>-2590</v>
      </c>
      <c r="L5" s="20">
        <f t="shared" si="8"/>
        <v>-859.5</v>
      </c>
      <c r="M5" s="28"/>
      <c r="N5" s="2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17">
        <v>45017.0</v>
      </c>
      <c r="B6" s="10">
        <f t="shared" si="3"/>
        <v>-6071.86</v>
      </c>
      <c r="C6" s="18">
        <f>'2023_income'!F6</f>
        <v>14947.84</v>
      </c>
      <c r="D6" s="12">
        <f t="shared" si="4"/>
        <v>8875.98</v>
      </c>
      <c r="E6" s="19">
        <f t="shared" ref="E6:L6" si="9">sum(E105:E134)</f>
        <v>-13.44</v>
      </c>
      <c r="F6" s="19">
        <f t="shared" si="9"/>
        <v>-169.06</v>
      </c>
      <c r="G6" s="19">
        <f t="shared" si="9"/>
        <v>-585.07</v>
      </c>
      <c r="H6" s="19">
        <f t="shared" si="9"/>
        <v>-1250.69</v>
      </c>
      <c r="I6" s="19">
        <f t="shared" si="9"/>
        <v>-833.3</v>
      </c>
      <c r="J6" s="19">
        <f t="shared" si="9"/>
        <v>0</v>
      </c>
      <c r="K6" s="19">
        <f t="shared" si="9"/>
        <v>-2590</v>
      </c>
      <c r="L6" s="20">
        <f t="shared" si="9"/>
        <v>-630.3</v>
      </c>
      <c r="M6" s="28"/>
      <c r="N6" s="2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7">
        <v>45047.0</v>
      </c>
      <c r="B7" s="10">
        <f t="shared" si="3"/>
        <v>-7050.33</v>
      </c>
      <c r="C7" s="18">
        <f>'2023_income'!F7</f>
        <v>14634.99</v>
      </c>
      <c r="D7" s="12">
        <f t="shared" si="4"/>
        <v>7584.66</v>
      </c>
      <c r="E7" s="19">
        <f t="shared" ref="E7:L7" si="10">sum(E135:E165)</f>
        <v>-204.15</v>
      </c>
      <c r="F7" s="19">
        <f t="shared" si="10"/>
        <v>-230.58</v>
      </c>
      <c r="G7" s="19">
        <f t="shared" si="10"/>
        <v>-1468.64</v>
      </c>
      <c r="H7" s="19">
        <f t="shared" si="10"/>
        <v>-1311.57</v>
      </c>
      <c r="I7" s="19">
        <f t="shared" si="10"/>
        <v>-527.79</v>
      </c>
      <c r="J7" s="19">
        <f t="shared" si="10"/>
        <v>-30</v>
      </c>
      <c r="K7" s="19">
        <f t="shared" si="10"/>
        <v>-2590</v>
      </c>
      <c r="L7" s="20">
        <f t="shared" si="10"/>
        <v>-687.6</v>
      </c>
      <c r="M7" s="28"/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7">
        <v>45078.0</v>
      </c>
      <c r="B8" s="10">
        <f t="shared" si="3"/>
        <v>-8517.79</v>
      </c>
      <c r="C8" s="18">
        <f>'2023_income'!F8</f>
        <v>11352.46</v>
      </c>
      <c r="D8" s="12">
        <f t="shared" si="4"/>
        <v>2834.67</v>
      </c>
      <c r="E8" s="19">
        <f t="shared" ref="E8:L8" si="11">sum(E166:E195)</f>
        <v>-41.5</v>
      </c>
      <c r="F8" s="19">
        <f t="shared" si="11"/>
        <v>-535.16</v>
      </c>
      <c r="G8" s="19">
        <f t="shared" si="11"/>
        <v>-1739.75</v>
      </c>
      <c r="H8" s="19">
        <f t="shared" si="11"/>
        <v>-1384.54</v>
      </c>
      <c r="I8" s="19">
        <f t="shared" si="11"/>
        <v>-675.75</v>
      </c>
      <c r="J8" s="19">
        <f t="shared" si="11"/>
        <v>-430</v>
      </c>
      <c r="K8" s="19">
        <f t="shared" si="11"/>
        <v>-2590</v>
      </c>
      <c r="L8" s="20">
        <f t="shared" si="11"/>
        <v>-1121.09</v>
      </c>
      <c r="M8" s="28"/>
      <c r="N8" s="2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17">
        <v>45108.0</v>
      </c>
      <c r="B9" s="10">
        <f t="shared" si="3"/>
        <v>-13309.72</v>
      </c>
      <c r="C9" s="18">
        <f>'2023_income'!F9</f>
        <v>10376.98</v>
      </c>
      <c r="D9" s="12">
        <f t="shared" si="4"/>
        <v>-2932.74</v>
      </c>
      <c r="E9" s="19">
        <f t="shared" ref="E9:L9" si="12">sum(E196:E226)</f>
        <v>-80</v>
      </c>
      <c r="F9" s="19">
        <f t="shared" si="12"/>
        <v>-5493.31</v>
      </c>
      <c r="G9" s="19">
        <f t="shared" si="12"/>
        <v>-2661.45</v>
      </c>
      <c r="H9" s="19">
        <f t="shared" si="12"/>
        <v>-1030.41</v>
      </c>
      <c r="I9" s="19">
        <f t="shared" si="12"/>
        <v>-386.81</v>
      </c>
      <c r="J9" s="19">
        <f t="shared" si="12"/>
        <v>-214.15</v>
      </c>
      <c r="K9" s="19">
        <f t="shared" si="12"/>
        <v>-2985</v>
      </c>
      <c r="L9" s="20">
        <f t="shared" si="12"/>
        <v>-458.59</v>
      </c>
      <c r="M9" s="28"/>
      <c r="N9" s="2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17">
        <v>45139.0</v>
      </c>
      <c r="B10" s="10">
        <f t="shared" si="3"/>
        <v>-7082.04</v>
      </c>
      <c r="C10" s="18">
        <f>'2023_income'!F10</f>
        <v>10836.53</v>
      </c>
      <c r="D10" s="12">
        <f t="shared" si="4"/>
        <v>3754.49</v>
      </c>
      <c r="E10" s="19">
        <f t="shared" ref="E10:L10" si="13">sum(E227:E257)</f>
        <v>-4359.75</v>
      </c>
      <c r="F10" s="19">
        <f t="shared" si="13"/>
        <v>4327.71</v>
      </c>
      <c r="G10" s="19">
        <f t="shared" si="13"/>
        <v>-961.65</v>
      </c>
      <c r="H10" s="19">
        <f t="shared" si="13"/>
        <v>-1307.77</v>
      </c>
      <c r="I10" s="19">
        <f t="shared" si="13"/>
        <v>-654.53</v>
      </c>
      <c r="J10" s="19">
        <f t="shared" si="13"/>
        <v>-30.55</v>
      </c>
      <c r="K10" s="19">
        <f t="shared" si="13"/>
        <v>-2629</v>
      </c>
      <c r="L10" s="20">
        <f t="shared" si="13"/>
        <v>-1466.5</v>
      </c>
      <c r="M10" s="28"/>
      <c r="N10" s="2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7">
        <v>45170.0</v>
      </c>
      <c r="B11" s="10">
        <f t="shared" si="3"/>
        <v>-7514.69</v>
      </c>
      <c r="C11" s="18">
        <f>'2023_income'!F11</f>
        <v>10501.82</v>
      </c>
      <c r="D11" s="12">
        <f t="shared" si="4"/>
        <v>2987.13</v>
      </c>
      <c r="E11" s="19">
        <f t="shared" ref="E11:L11" si="14">SUM(E258:E287)</f>
        <v>-24</v>
      </c>
      <c r="F11" s="19">
        <f t="shared" si="14"/>
        <v>-1683.58</v>
      </c>
      <c r="G11" s="19">
        <f t="shared" si="14"/>
        <v>-466.3</v>
      </c>
      <c r="H11" s="19">
        <f t="shared" si="14"/>
        <v>-1489.12</v>
      </c>
      <c r="I11" s="19">
        <f t="shared" si="14"/>
        <v>-607.4</v>
      </c>
      <c r="J11" s="19">
        <f t="shared" si="14"/>
        <v>0</v>
      </c>
      <c r="K11" s="19">
        <f t="shared" si="14"/>
        <v>-2629</v>
      </c>
      <c r="L11" s="20">
        <f t="shared" si="14"/>
        <v>-615.29</v>
      </c>
      <c r="M11" s="28"/>
      <c r="N11" s="2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17">
        <v>45200.0</v>
      </c>
      <c r="B12" s="10">
        <f t="shared" si="3"/>
        <v>-8817.13</v>
      </c>
      <c r="C12" s="18">
        <f>'2023_income'!F12</f>
        <v>11032.25</v>
      </c>
      <c r="D12" s="12">
        <f t="shared" si="4"/>
        <v>2215.12</v>
      </c>
      <c r="E12" s="19">
        <f t="shared" ref="E12:L12" si="15">SUM(E288:E318)</f>
        <v>-20</v>
      </c>
      <c r="F12" s="19">
        <f t="shared" si="15"/>
        <v>-2181.3</v>
      </c>
      <c r="G12" s="19">
        <f t="shared" si="15"/>
        <v>-1485.91</v>
      </c>
      <c r="H12" s="19">
        <f t="shared" si="15"/>
        <v>-1517.11</v>
      </c>
      <c r="I12" s="19">
        <f t="shared" si="15"/>
        <v>-733.85</v>
      </c>
      <c r="J12" s="19">
        <f t="shared" si="15"/>
        <v>0</v>
      </c>
      <c r="K12" s="19">
        <f t="shared" si="15"/>
        <v>-2629</v>
      </c>
      <c r="L12" s="20">
        <f t="shared" si="15"/>
        <v>-249.96</v>
      </c>
      <c r="M12" s="28"/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17">
        <v>45231.0</v>
      </c>
      <c r="B13" s="10">
        <f t="shared" si="3"/>
        <v>-11427.02</v>
      </c>
      <c r="C13" s="18">
        <f>'2023_income'!F13</f>
        <v>17470.73</v>
      </c>
      <c r="D13" s="12">
        <f t="shared" si="4"/>
        <v>6043.71</v>
      </c>
      <c r="E13" s="19">
        <f t="shared" ref="E13:L13" si="16">SUM(E319:E348)</f>
        <v>-1126.33</v>
      </c>
      <c r="F13" s="19">
        <f t="shared" si="16"/>
        <v>-3385.59</v>
      </c>
      <c r="G13" s="19">
        <f t="shared" si="16"/>
        <v>-1283.8</v>
      </c>
      <c r="H13" s="19">
        <f t="shared" si="16"/>
        <v>-1926.97</v>
      </c>
      <c r="I13" s="19">
        <f t="shared" si="16"/>
        <v>-565.93</v>
      </c>
      <c r="J13" s="19">
        <f t="shared" si="16"/>
        <v>0</v>
      </c>
      <c r="K13" s="19">
        <f t="shared" si="16"/>
        <v>-2629</v>
      </c>
      <c r="L13" s="20">
        <f t="shared" si="16"/>
        <v>-509.4</v>
      </c>
      <c r="M13" s="28"/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7">
        <v>45261.0</v>
      </c>
      <c r="B14" s="10">
        <f t="shared" si="3"/>
        <v>-29649.82</v>
      </c>
      <c r="C14" s="18">
        <f>'2023_income'!F14</f>
        <v>10103.49</v>
      </c>
      <c r="D14" s="23">
        <f t="shared" si="4"/>
        <v>-19546.33</v>
      </c>
      <c r="E14" s="24">
        <f t="shared" ref="E14:L14" si="17">SUM(E349:E379)</f>
        <v>-223.18</v>
      </c>
      <c r="F14" s="24">
        <f t="shared" si="17"/>
        <v>-3822.05</v>
      </c>
      <c r="G14" s="24">
        <f t="shared" si="17"/>
        <v>-565.43</v>
      </c>
      <c r="H14" s="24">
        <f t="shared" si="17"/>
        <v>-1051.2</v>
      </c>
      <c r="I14" s="24">
        <f t="shared" si="17"/>
        <v>-379.22</v>
      </c>
      <c r="J14" s="24">
        <f t="shared" si="17"/>
        <v>-20000</v>
      </c>
      <c r="K14" s="24">
        <f t="shared" si="17"/>
        <v>-3129</v>
      </c>
      <c r="L14" s="25">
        <f t="shared" si="17"/>
        <v>-479.74</v>
      </c>
      <c r="M14" s="28"/>
      <c r="N14" s="2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6">
        <v>44927.0</v>
      </c>
      <c r="B15" s="19"/>
      <c r="C15" s="27"/>
      <c r="D15" s="19"/>
      <c r="E15" s="27"/>
      <c r="F15" s="27"/>
      <c r="G15" s="27">
        <v>-9.99</v>
      </c>
      <c r="H15" s="19"/>
      <c r="J15" s="19"/>
      <c r="K15" s="19"/>
      <c r="L15" s="19"/>
      <c r="M15" s="28"/>
      <c r="N15" s="2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6">
        <v>44928.0</v>
      </c>
      <c r="B16" s="19"/>
      <c r="C16" s="27"/>
      <c r="D16" s="19"/>
      <c r="E16" s="19"/>
      <c r="F16" s="27">
        <v>-5.25</v>
      </c>
      <c r="G16" s="19"/>
      <c r="H16" s="19">
        <f>-sum(16.99,2.9)</f>
        <v>-19.89</v>
      </c>
      <c r="I16" s="19">
        <f>-sum(70.15,22)</f>
        <v>-92.15</v>
      </c>
      <c r="J16" s="19"/>
      <c r="K16" s="19"/>
      <c r="L16" s="19"/>
      <c r="M16" s="28"/>
      <c r="N16" s="2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26">
        <v>44929.0</v>
      </c>
      <c r="B17" s="27"/>
      <c r="C17" s="27"/>
      <c r="D17" s="19"/>
      <c r="E17" s="27"/>
      <c r="F17" s="27">
        <v>-24.69</v>
      </c>
      <c r="G17" s="27">
        <v>-23.3</v>
      </c>
      <c r="H17" s="19"/>
      <c r="I17" s="27">
        <f>-sum(18,16,4.9)</f>
        <v>-38.9</v>
      </c>
      <c r="J17" s="19"/>
      <c r="K17" s="27"/>
      <c r="L17" s="19"/>
      <c r="M17" s="28"/>
      <c r="N17" s="21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26">
        <v>44930.0</v>
      </c>
      <c r="B18" s="27"/>
      <c r="C18" s="27"/>
      <c r="D18" s="19"/>
      <c r="E18" s="27"/>
      <c r="F18" s="27"/>
      <c r="G18" s="27"/>
      <c r="H18" s="27">
        <v>-31.05</v>
      </c>
      <c r="I18" s="19"/>
      <c r="J18" s="19"/>
      <c r="K18" s="19"/>
      <c r="L18" s="19"/>
      <c r="M18" s="28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26">
        <v>44931.0</v>
      </c>
      <c r="B19" s="27"/>
      <c r="C19" s="27"/>
      <c r="D19" s="19"/>
      <c r="E19" s="27"/>
      <c r="F19" s="27"/>
      <c r="G19" s="27"/>
      <c r="H19" s="27">
        <v>-22.0</v>
      </c>
      <c r="I19" s="19"/>
      <c r="J19" s="19"/>
      <c r="K19" s="19"/>
      <c r="L19" s="19"/>
      <c r="M19" s="28"/>
      <c r="N19" s="21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26">
        <v>44932.0</v>
      </c>
      <c r="B20" s="27"/>
      <c r="C20" s="27"/>
      <c r="D20" s="19"/>
      <c r="E20" s="27"/>
      <c r="F20" s="19"/>
      <c r="G20" s="27">
        <v>-29.17</v>
      </c>
      <c r="H20" s="27"/>
      <c r="I20" s="27"/>
      <c r="J20" s="19"/>
      <c r="K20" s="19">
        <f>-sum(655,1385)</f>
        <v>-2040</v>
      </c>
      <c r="L20" s="27">
        <v>-116.6</v>
      </c>
      <c r="M20" s="28"/>
      <c r="N20" s="21"/>
      <c r="O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26">
        <v>44933.0</v>
      </c>
      <c r="B21" s="27"/>
      <c r="C21" s="27"/>
      <c r="D21" s="19"/>
      <c r="E21" s="27"/>
      <c r="F21" s="27"/>
      <c r="G21" s="19"/>
      <c r="H21" s="27">
        <f>-sum(53.07,48.73,38.51)</f>
        <v>-140.31</v>
      </c>
      <c r="I21" s="27">
        <v>-44.0</v>
      </c>
      <c r="J21" s="19"/>
      <c r="K21" s="19"/>
      <c r="L21" s="27"/>
      <c r="M21" s="28"/>
      <c r="N21" s="21"/>
      <c r="O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26">
        <v>44934.0</v>
      </c>
      <c r="B22" s="27"/>
      <c r="C22" s="27"/>
      <c r="D22" s="19"/>
      <c r="E22" s="27"/>
      <c r="F22" s="27"/>
      <c r="G22" s="27"/>
      <c r="H22" s="19"/>
      <c r="I22" s="19"/>
      <c r="J22" s="19"/>
      <c r="K22" s="27">
        <v>-500.0</v>
      </c>
      <c r="L22" s="27"/>
      <c r="M22" s="28"/>
      <c r="N22" s="21"/>
      <c r="O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26">
        <v>44935.0</v>
      </c>
      <c r="B23" s="27"/>
      <c r="C23" s="27"/>
      <c r="D23" s="19"/>
      <c r="E23" s="27"/>
      <c r="F23" s="27"/>
      <c r="G23" s="27">
        <v>-23.3</v>
      </c>
      <c r="H23" s="19"/>
      <c r="I23" s="19"/>
      <c r="J23" s="19"/>
      <c r="K23" s="19"/>
      <c r="L23" s="19"/>
      <c r="M23" s="28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26">
        <v>44936.0</v>
      </c>
      <c r="B24" s="27"/>
      <c r="C24" s="27"/>
      <c r="D24" s="19"/>
      <c r="E24" s="27"/>
      <c r="F24" s="27"/>
      <c r="G24" s="27"/>
      <c r="H24" s="27">
        <f>-sum(135.13,61.09)</f>
        <v>-196.22</v>
      </c>
      <c r="I24" s="27"/>
      <c r="J24" s="19"/>
      <c r="K24" s="19"/>
      <c r="L24" s="19"/>
      <c r="M24" s="28"/>
      <c r="N24" s="21"/>
      <c r="O24" s="2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26">
        <v>44937.0</v>
      </c>
      <c r="B25" s="27"/>
      <c r="C25" s="27"/>
      <c r="D25" s="19"/>
      <c r="E25" s="27"/>
      <c r="F25" s="27">
        <v>-15.0</v>
      </c>
      <c r="G25" s="19"/>
      <c r="H25" s="19"/>
      <c r="I25" s="27">
        <v>6.09</v>
      </c>
      <c r="J25" s="19"/>
      <c r="K25" s="19"/>
      <c r="L25" s="27"/>
      <c r="M25" s="28"/>
      <c r="N25" s="21"/>
      <c r="O25" s="2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9.5" customHeight="1">
      <c r="A26" s="26">
        <v>44938.0</v>
      </c>
      <c r="B26" s="27"/>
      <c r="C26" s="27"/>
      <c r="D26" s="19"/>
      <c r="E26" s="27"/>
      <c r="F26" s="27"/>
      <c r="G26" s="27"/>
      <c r="H26" s="19"/>
      <c r="I26" s="19"/>
      <c r="J26" s="19"/>
      <c r="K26" s="19"/>
      <c r="L26" s="19"/>
      <c r="M26" s="28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9.5" customHeight="1">
      <c r="A27" s="26">
        <v>44939.0</v>
      </c>
      <c r="B27" s="27"/>
      <c r="C27" s="27"/>
      <c r="D27" s="19"/>
      <c r="E27" s="27"/>
      <c r="F27" s="27">
        <v>-15.0</v>
      </c>
      <c r="G27" s="27"/>
      <c r="H27" s="19">
        <f>-sum(7.2,5.5,16.29)</f>
        <v>-28.99</v>
      </c>
      <c r="I27" s="27"/>
      <c r="J27" s="19"/>
      <c r="K27" s="19"/>
      <c r="L27" s="27">
        <v>-116.6</v>
      </c>
      <c r="M27" s="30"/>
      <c r="N27" s="30"/>
      <c r="O27" s="2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9.5" customHeight="1">
      <c r="A28" s="26">
        <v>44940.0</v>
      </c>
      <c r="B28" s="27"/>
      <c r="C28" s="27"/>
      <c r="D28" s="19"/>
      <c r="E28" s="19"/>
      <c r="F28" s="27">
        <f>-sum(67.47,6)</f>
        <v>-73.47</v>
      </c>
      <c r="G28" s="27"/>
      <c r="H28" s="19">
        <f>-sum(17.35,32.94)</f>
        <v>-50.29</v>
      </c>
      <c r="I28" s="19"/>
      <c r="J28" s="19"/>
      <c r="K28" s="19"/>
      <c r="L28" s="27"/>
      <c r="M28" s="31"/>
      <c r="N28" s="30"/>
      <c r="O28" s="2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9.5" customHeight="1">
      <c r="A29" s="26">
        <v>44941.0</v>
      </c>
      <c r="B29" s="27"/>
      <c r="C29" s="27"/>
      <c r="D29" s="19"/>
      <c r="E29" s="19"/>
      <c r="F29" s="27"/>
      <c r="G29" s="27"/>
      <c r="H29" s="19">
        <f>-sum(63.85,39.92)</f>
        <v>-103.77</v>
      </c>
      <c r="I29" s="27">
        <v>-37.5</v>
      </c>
      <c r="J29" s="19"/>
      <c r="K29" s="19"/>
      <c r="L29" s="19"/>
      <c r="M29" s="31"/>
      <c r="N29" s="30"/>
      <c r="O29" s="2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9.5" customHeight="1">
      <c r="A30" s="26">
        <v>44942.0</v>
      </c>
      <c r="B30" s="27"/>
      <c r="C30" s="27"/>
      <c r="D30" s="19"/>
      <c r="E30" s="27"/>
      <c r="F30" s="27"/>
      <c r="G30" s="27">
        <f>-sum(23.3*2)</f>
        <v>-46.6</v>
      </c>
      <c r="H30" s="27"/>
      <c r="I30" s="27"/>
      <c r="J30" s="19"/>
      <c r="K30" s="19"/>
      <c r="L30" s="19"/>
      <c r="M30" s="31"/>
      <c r="N30" s="30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9.5" customHeight="1">
      <c r="A31" s="26">
        <v>44943.0</v>
      </c>
      <c r="B31" s="27"/>
      <c r="C31" s="27"/>
      <c r="D31" s="19"/>
      <c r="E31" s="19"/>
      <c r="F31" s="19"/>
      <c r="G31" s="19"/>
      <c r="H31" s="19"/>
      <c r="I31" s="19"/>
      <c r="J31" s="19"/>
      <c r="K31" s="27"/>
      <c r="L31" s="27"/>
      <c r="M31" s="30"/>
      <c r="N31" s="30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9.5" customHeight="1">
      <c r="A32" s="26">
        <v>44944.0</v>
      </c>
      <c r="B32" s="19"/>
      <c r="C32" s="27"/>
      <c r="D32" s="13"/>
      <c r="E32" s="19"/>
      <c r="F32" s="19"/>
      <c r="G32" s="27"/>
      <c r="H32" s="19">
        <f>-sum(30.95)</f>
        <v>-30.95</v>
      </c>
      <c r="I32" s="19">
        <f>-sum(8.5,16)</f>
        <v>-24.5</v>
      </c>
      <c r="J32" s="19"/>
      <c r="K32" s="19"/>
      <c r="L32" s="27"/>
      <c r="M32" s="30"/>
      <c r="N32" s="30"/>
      <c r="O32" s="2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9.5" customHeight="1">
      <c r="A33" s="26">
        <v>44945.0</v>
      </c>
      <c r="B33" s="27"/>
      <c r="C33" s="27"/>
      <c r="D33" s="19"/>
      <c r="E33" s="27"/>
      <c r="F33" s="19"/>
      <c r="G33" s="19"/>
      <c r="H33" s="19"/>
      <c r="I33" s="19"/>
      <c r="J33" s="19"/>
      <c r="K33" s="19"/>
      <c r="L33" s="19"/>
      <c r="M33" s="30"/>
      <c r="N33" s="30"/>
      <c r="O33" s="2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9.5" customHeight="1">
      <c r="A34" s="26">
        <v>44946.0</v>
      </c>
      <c r="B34" s="27"/>
      <c r="C34" s="27"/>
      <c r="D34" s="19"/>
      <c r="E34" s="27"/>
      <c r="F34" s="27"/>
      <c r="G34" s="27"/>
      <c r="H34" s="19">
        <f>-sum(-12.5,-9,56.08,45.15,24.41)</f>
        <v>-104.14</v>
      </c>
      <c r="I34" s="27">
        <v>-8.4</v>
      </c>
      <c r="J34" s="19"/>
      <c r="K34" s="27"/>
      <c r="L34" s="27">
        <v>-116.6</v>
      </c>
      <c r="M34" s="30"/>
      <c r="N34" s="30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9.5" customHeight="1">
      <c r="A35" s="26">
        <v>44947.0</v>
      </c>
      <c r="B35" s="27"/>
      <c r="C35" s="27"/>
      <c r="D35" s="19"/>
      <c r="E35" s="19"/>
      <c r="F35" s="27"/>
      <c r="G35" s="27">
        <f>-sum(33.5,40.03,23.3)</f>
        <v>-96.83</v>
      </c>
      <c r="H35" s="19">
        <f>-sum(23.09,30.98,1.2,35,17.55,-9,68)</f>
        <v>-166.82</v>
      </c>
      <c r="I35" s="19"/>
      <c r="J35" s="19"/>
      <c r="K35" s="19"/>
      <c r="L35" s="27"/>
      <c r="M35" s="30"/>
      <c r="N35" s="30"/>
      <c r="O35" s="2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9.5" customHeight="1">
      <c r="A36" s="26">
        <v>44948.0</v>
      </c>
      <c r="B36" s="27"/>
      <c r="C36" s="27"/>
      <c r="D36" s="19"/>
      <c r="E36" s="27"/>
      <c r="F36" s="27">
        <v>-60.6</v>
      </c>
      <c r="G36" s="27"/>
      <c r="H36" s="27">
        <f>-sum(26,12.5,5.6,17.5)</f>
        <v>-61.6</v>
      </c>
      <c r="I36" s="27">
        <v>-96.14</v>
      </c>
      <c r="J36" s="19"/>
      <c r="K36" s="19"/>
      <c r="L36" s="19"/>
      <c r="M36" s="30"/>
      <c r="N36" s="30"/>
      <c r="O36" s="2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9.5" customHeight="1">
      <c r="A37" s="26">
        <v>44949.0</v>
      </c>
      <c r="B37" s="27"/>
      <c r="C37" s="27"/>
      <c r="D37" s="19"/>
      <c r="E37" s="27"/>
      <c r="F37" s="27">
        <v>-50.0</v>
      </c>
      <c r="G37" s="27">
        <v>-23.3</v>
      </c>
      <c r="H37" s="19"/>
      <c r="I37" s="19"/>
      <c r="J37" s="19"/>
      <c r="K37" s="19"/>
      <c r="L37" s="19"/>
      <c r="M37" s="30"/>
      <c r="N37" s="30"/>
      <c r="O37" s="2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9.5" customHeight="1">
      <c r="A38" s="26">
        <v>44950.0</v>
      </c>
      <c r="B38" s="27"/>
      <c r="C38" s="27"/>
      <c r="D38" s="19"/>
      <c r="E38" s="27">
        <v>-20.0</v>
      </c>
      <c r="F38" s="27"/>
      <c r="G38" s="27"/>
      <c r="H38" s="19"/>
      <c r="I38" s="27">
        <f>-sum(7.5,89.83)</f>
        <v>-97.33</v>
      </c>
      <c r="J38" s="19"/>
      <c r="K38" s="19"/>
      <c r="L38" s="19"/>
      <c r="M38" s="30"/>
      <c r="N38" s="30"/>
      <c r="O38" s="2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9.5" customHeight="1">
      <c r="A39" s="26">
        <v>44951.0</v>
      </c>
      <c r="B39" s="27"/>
      <c r="C39" s="27"/>
      <c r="D39" s="19"/>
      <c r="E39" s="27"/>
      <c r="F39" s="27"/>
      <c r="G39" s="27">
        <v>-64.99</v>
      </c>
      <c r="H39" s="19"/>
      <c r="I39" s="19"/>
      <c r="J39" s="19"/>
      <c r="K39" s="19"/>
      <c r="L39" s="19"/>
      <c r="M39" s="30"/>
      <c r="N39" s="30"/>
      <c r="O39" s="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9.5" customHeight="1">
      <c r="A40" s="26">
        <v>44952.0</v>
      </c>
      <c r="B40" s="27"/>
      <c r="C40" s="27"/>
      <c r="D40" s="19"/>
      <c r="E40" s="27"/>
      <c r="F40" s="27">
        <v>-25.0</v>
      </c>
      <c r="G40" s="27">
        <v>-247.99</v>
      </c>
      <c r="H40" s="27">
        <v>-15.3</v>
      </c>
      <c r="I40" s="27">
        <v>-35.11</v>
      </c>
      <c r="J40" s="19"/>
      <c r="K40" s="19"/>
      <c r="L40" s="19"/>
      <c r="M40" s="30"/>
      <c r="N40" s="30"/>
      <c r="O40" s="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9.5" customHeight="1">
      <c r="A41" s="26">
        <v>44953.0</v>
      </c>
      <c r="B41" s="27"/>
      <c r="C41" s="27"/>
      <c r="D41" s="19"/>
      <c r="E41" s="19"/>
      <c r="F41" s="27"/>
      <c r="G41" s="27"/>
      <c r="H41" s="27"/>
      <c r="I41" s="19"/>
      <c r="J41" s="19"/>
      <c r="K41" s="19"/>
      <c r="L41" s="27">
        <v>-114.6</v>
      </c>
      <c r="M41" s="30"/>
      <c r="N41" s="30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9.5" customHeight="1">
      <c r="A42" s="26">
        <v>44954.0</v>
      </c>
      <c r="B42" s="27"/>
      <c r="C42" s="27"/>
      <c r="D42" s="19"/>
      <c r="E42" s="27"/>
      <c r="F42" s="27"/>
      <c r="G42" s="19"/>
      <c r="H42" s="19">
        <f>-sum(14.15,59.41,80.82)</f>
        <v>-154.38</v>
      </c>
      <c r="I42" s="27">
        <v>-8.7</v>
      </c>
      <c r="J42" s="27"/>
      <c r="K42" s="19"/>
      <c r="L42" s="27"/>
      <c r="M42" s="30"/>
      <c r="N42" s="30"/>
      <c r="O42" s="2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9.5" customHeight="1">
      <c r="A43" s="26">
        <v>44955.0</v>
      </c>
      <c r="B43" s="27"/>
      <c r="C43" s="27"/>
      <c r="D43" s="19"/>
      <c r="E43" s="27"/>
      <c r="F43" s="27"/>
      <c r="G43" s="27"/>
      <c r="H43" s="19"/>
      <c r="I43" s="27">
        <v>-93.5</v>
      </c>
      <c r="J43" s="19"/>
      <c r="K43" s="19"/>
      <c r="L43" s="27"/>
      <c r="M43" s="30"/>
      <c r="N43" s="30"/>
      <c r="O43" s="2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9.5" customHeight="1">
      <c r="A44" s="26">
        <v>44956.0</v>
      </c>
      <c r="B44" s="27"/>
      <c r="C44" s="27"/>
      <c r="D44" s="19"/>
      <c r="E44" s="27"/>
      <c r="F44" s="19"/>
      <c r="G44" s="27">
        <f>-23.3*2</f>
        <v>-46.6</v>
      </c>
      <c r="H44" s="27">
        <f>-sum(67.45,8.5)</f>
        <v>-75.95</v>
      </c>
      <c r="I44" s="27">
        <v>-42.22</v>
      </c>
      <c r="J44" s="19"/>
      <c r="K44" s="19"/>
      <c r="L44" s="19"/>
      <c r="M44" s="30"/>
      <c r="N44" s="30"/>
      <c r="O44" s="2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9.5" customHeight="1">
      <c r="A45" s="26">
        <v>44957.0</v>
      </c>
      <c r="B45" s="27"/>
      <c r="C45" s="27"/>
      <c r="D45" s="19"/>
      <c r="E45" s="27"/>
      <c r="F45" s="27">
        <v>-26.5</v>
      </c>
      <c r="G45" s="19"/>
      <c r="H45" s="27">
        <v>-87.82</v>
      </c>
      <c r="I45" s="19">
        <f>-SUM(10.74,42.22)</f>
        <v>-52.96</v>
      </c>
      <c r="J45" s="27"/>
      <c r="K45" s="19"/>
      <c r="L45" s="19"/>
      <c r="M45" s="30"/>
      <c r="N45" s="30"/>
      <c r="O45" s="2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9.5" customHeight="1">
      <c r="A46" s="26">
        <v>44958.0</v>
      </c>
      <c r="B46" s="27"/>
      <c r="C46" s="27"/>
      <c r="D46" s="19"/>
      <c r="E46" s="19"/>
      <c r="F46" s="27"/>
      <c r="G46" s="27">
        <v>-9.99</v>
      </c>
      <c r="H46" s="19"/>
      <c r="I46" s="19"/>
      <c r="J46" s="19"/>
      <c r="K46" s="19"/>
      <c r="L46" s="27"/>
      <c r="M46" s="30"/>
      <c r="N46" s="3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9.5" customHeight="1">
      <c r="A47" s="26">
        <v>44959.0</v>
      </c>
      <c r="B47" s="27"/>
      <c r="C47" s="27"/>
      <c r="D47" s="19"/>
      <c r="E47" s="19"/>
      <c r="F47" s="27"/>
      <c r="G47" s="27"/>
      <c r="H47" s="27">
        <v>-25.15</v>
      </c>
      <c r="I47" s="19"/>
      <c r="J47" s="19"/>
      <c r="K47" s="27"/>
      <c r="L47" s="19"/>
      <c r="M47" s="30"/>
      <c r="N47" s="3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9.5" customHeight="1">
      <c r="A48" s="26">
        <v>44960.0</v>
      </c>
      <c r="B48" s="27"/>
      <c r="C48" s="27"/>
      <c r="D48" s="19"/>
      <c r="E48" s="19"/>
      <c r="F48" s="27"/>
      <c r="G48" s="19"/>
      <c r="H48" s="27">
        <f>-sum(15,13.36,60)</f>
        <v>-88.36</v>
      </c>
      <c r="I48" s="27"/>
      <c r="J48" s="19"/>
      <c r="K48" s="27">
        <v>-500.0</v>
      </c>
      <c r="L48" s="27">
        <v>-171.9</v>
      </c>
      <c r="M48" s="30"/>
      <c r="N48" s="30"/>
      <c r="O48" s="2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9.5" customHeight="1">
      <c r="A49" s="26">
        <v>44961.0</v>
      </c>
      <c r="B49" s="27"/>
      <c r="C49" s="27"/>
      <c r="D49" s="19"/>
      <c r="E49" s="27"/>
      <c r="F49" s="27"/>
      <c r="G49" s="27"/>
      <c r="H49" s="27">
        <f>-sum(28.6,33.3,28.64)</f>
        <v>-90.54</v>
      </c>
      <c r="I49" s="27">
        <v>-8.4</v>
      </c>
      <c r="J49" s="19"/>
      <c r="K49" s="19"/>
      <c r="L49" s="27"/>
      <c r="M49" s="30"/>
      <c r="N49" s="30"/>
      <c r="O49" s="2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9.5" customHeight="1">
      <c r="A50" s="26">
        <v>44962.0</v>
      </c>
      <c r="B50" s="27"/>
      <c r="C50" s="27"/>
      <c r="D50" s="19"/>
      <c r="E50" s="27"/>
      <c r="F50" s="27"/>
      <c r="G50" s="27">
        <v>-29.17</v>
      </c>
      <c r="H50" s="27">
        <f>-sum(22.09,103.38,3.3)</f>
        <v>-128.77</v>
      </c>
      <c r="I50" s="27">
        <v>-58.8</v>
      </c>
      <c r="J50" s="19"/>
      <c r="K50" s="19"/>
      <c r="L50" s="27"/>
      <c r="M50" s="30"/>
      <c r="N50" s="30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9.5" customHeight="1">
      <c r="A51" s="26">
        <v>44963.0</v>
      </c>
      <c r="B51" s="27"/>
      <c r="C51" s="27"/>
      <c r="D51" s="19"/>
      <c r="E51" s="27"/>
      <c r="F51" s="27"/>
      <c r="G51" s="27">
        <f>-sum(23.3,23.3,33.5)</f>
        <v>-80.1</v>
      </c>
      <c r="H51" s="27">
        <v>-12.0</v>
      </c>
      <c r="I51" s="27"/>
      <c r="J51" s="19"/>
      <c r="K51" s="19">
        <f>-sum(655,1385)</f>
        <v>-2040</v>
      </c>
      <c r="L51" s="19"/>
      <c r="M51" s="30"/>
      <c r="N51" s="30"/>
      <c r="O51" s="2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9.5" customHeight="1">
      <c r="A52" s="26">
        <v>44964.0</v>
      </c>
      <c r="B52" s="27"/>
      <c r="C52" s="27"/>
      <c r="D52" s="19"/>
      <c r="E52" s="27"/>
      <c r="F52" s="27">
        <v>-49.48</v>
      </c>
      <c r="G52" s="27"/>
      <c r="H52" s="27">
        <v>-25.83</v>
      </c>
      <c r="I52" s="19"/>
      <c r="J52" s="19"/>
      <c r="K52" s="19"/>
      <c r="L52" s="27">
        <v>-25.83</v>
      </c>
      <c r="M52" s="30"/>
      <c r="N52" s="30"/>
      <c r="O52" s="3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9.5" customHeight="1">
      <c r="A53" s="26">
        <v>44965.0</v>
      </c>
      <c r="B53" s="27"/>
      <c r="C53" s="27"/>
      <c r="D53" s="19"/>
      <c r="E53" s="27"/>
      <c r="F53" s="27"/>
      <c r="G53" s="27"/>
      <c r="H53" s="19"/>
      <c r="I53" s="27">
        <v>-21.8</v>
      </c>
      <c r="J53" s="19"/>
      <c r="K53" s="19"/>
      <c r="L53" s="19"/>
      <c r="M53" s="30"/>
      <c r="N53" s="30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9.5" customHeight="1">
      <c r="A54" s="26">
        <v>44966.0</v>
      </c>
      <c r="B54" s="27"/>
      <c r="C54" s="27"/>
      <c r="D54" s="19"/>
      <c r="E54" s="27"/>
      <c r="F54" s="27">
        <v>-105.4</v>
      </c>
      <c r="G54" s="27">
        <v>-57.19</v>
      </c>
      <c r="H54" s="27"/>
      <c r="I54" s="19">
        <f>-sum(13.5,6)</f>
        <v>-19.5</v>
      </c>
      <c r="J54" s="19"/>
      <c r="K54" s="19"/>
      <c r="L54" s="19"/>
      <c r="M54" s="30"/>
      <c r="N54" s="3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9.5" customHeight="1">
      <c r="A55" s="26">
        <v>44967.0</v>
      </c>
      <c r="B55" s="27"/>
      <c r="C55" s="27"/>
      <c r="D55" s="19"/>
      <c r="E55" s="19"/>
      <c r="F55" s="27"/>
      <c r="G55" s="27"/>
      <c r="H55" s="19"/>
      <c r="I55" s="27"/>
      <c r="J55" s="19"/>
      <c r="K55" s="19"/>
      <c r="L55" s="27">
        <v>-171.9</v>
      </c>
      <c r="M55" s="30"/>
      <c r="N55" s="30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9.5" customHeight="1">
      <c r="A56" s="26">
        <v>44968.0</v>
      </c>
      <c r="B56" s="19"/>
      <c r="C56" s="27"/>
      <c r="D56" s="19"/>
      <c r="E56" s="19"/>
      <c r="F56" s="27">
        <v>-109.0</v>
      </c>
      <c r="G56" s="19"/>
      <c r="H56" s="27">
        <v>-266.0</v>
      </c>
      <c r="I56" s="19"/>
      <c r="J56" s="19"/>
      <c r="K56" s="19"/>
      <c r="L56" s="27"/>
      <c r="M56" s="30"/>
      <c r="N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9.5" customHeight="1">
      <c r="A57" s="26">
        <v>44969.0</v>
      </c>
      <c r="B57" s="27"/>
      <c r="C57" s="27"/>
      <c r="D57" s="19"/>
      <c r="E57" s="27"/>
      <c r="F57" s="19">
        <f>-sum(11.98,2.99)</f>
        <v>-14.97</v>
      </c>
      <c r="G57" s="19"/>
      <c r="H57" s="19">
        <f>-sum(40,13,265.37,71.15,4.01)</f>
        <v>-393.53</v>
      </c>
      <c r="I57" s="27">
        <v>-22.7</v>
      </c>
      <c r="J57" s="19"/>
      <c r="K57" s="19"/>
      <c r="L57" s="19"/>
      <c r="M57" s="30"/>
      <c r="N57" s="30"/>
      <c r="O57" s="3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9.5" customHeight="1">
      <c r="A58" s="26">
        <v>44970.0</v>
      </c>
      <c r="B58" s="27"/>
      <c r="C58" s="27"/>
      <c r="D58" s="19"/>
      <c r="E58" s="27"/>
      <c r="F58" s="19"/>
      <c r="G58" s="27">
        <v>-23.3</v>
      </c>
      <c r="H58" s="27"/>
      <c r="I58" s="19"/>
      <c r="J58" s="19"/>
      <c r="K58" s="19"/>
      <c r="L58" s="19"/>
      <c r="M58" s="30"/>
      <c r="N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9.5" customHeight="1">
      <c r="A59" s="26">
        <v>44971.0</v>
      </c>
      <c r="B59" s="27"/>
      <c r="C59" s="27"/>
      <c r="D59" s="19"/>
      <c r="E59" s="27"/>
      <c r="F59" s="27"/>
      <c r="G59" s="27">
        <v>-23.3</v>
      </c>
      <c r="H59" s="27">
        <v>-27.8</v>
      </c>
      <c r="I59" s="27">
        <v>-26.85</v>
      </c>
      <c r="J59" s="19"/>
      <c r="K59" s="19"/>
      <c r="L59" s="19"/>
      <c r="M59" s="30"/>
      <c r="N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9.5" customHeight="1">
      <c r="A60" s="26">
        <v>44972.0</v>
      </c>
      <c r="B60" s="27"/>
      <c r="C60" s="27"/>
      <c r="D60" s="19"/>
      <c r="E60" s="27"/>
      <c r="F60" s="27"/>
      <c r="G60" s="27">
        <v>-490.0</v>
      </c>
      <c r="H60" s="27">
        <v>-9.47</v>
      </c>
      <c r="I60" s="27">
        <v>-32.43</v>
      </c>
      <c r="J60" s="19"/>
      <c r="K60" s="19"/>
      <c r="L60" s="27">
        <v>-171.9</v>
      </c>
      <c r="M60" s="30"/>
      <c r="N60" s="30"/>
      <c r="O60" s="2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9.5" customHeight="1">
      <c r="A61" s="26">
        <v>44973.0</v>
      </c>
      <c r="B61" s="27"/>
      <c r="C61" s="27"/>
      <c r="D61" s="19"/>
      <c r="E61" s="33"/>
      <c r="F61" s="19"/>
      <c r="G61" s="19"/>
      <c r="H61" s="27"/>
      <c r="I61" s="27"/>
      <c r="J61" s="19"/>
      <c r="K61" s="19"/>
      <c r="L61" s="19"/>
      <c r="M61" s="30"/>
      <c r="N61" s="30"/>
      <c r="O61" s="2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9.5" customHeight="1">
      <c r="A62" s="26">
        <v>44974.0</v>
      </c>
      <c r="B62" s="27"/>
      <c r="C62" s="27"/>
      <c r="D62" s="19"/>
      <c r="E62" s="27"/>
      <c r="F62" s="27">
        <v>-30.0</v>
      </c>
      <c r="G62" s="27"/>
      <c r="H62" s="19"/>
      <c r="I62" s="19"/>
      <c r="J62" s="19"/>
      <c r="K62" s="19"/>
      <c r="L62" s="19"/>
      <c r="M62" s="30"/>
      <c r="N62" s="30"/>
      <c r="O62" s="2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9.5" customHeight="1">
      <c r="A63" s="26">
        <v>44975.0</v>
      </c>
      <c r="B63" s="27"/>
      <c r="C63" s="27"/>
      <c r="D63" s="19"/>
      <c r="E63" s="27"/>
      <c r="F63" s="27"/>
      <c r="G63" s="19"/>
      <c r="H63" s="27">
        <f>-sum(42.73,4.2,29.94,14.8)</f>
        <v>-91.67</v>
      </c>
      <c r="I63" s="27">
        <v>-8.7</v>
      </c>
      <c r="J63" s="19"/>
      <c r="K63" s="19"/>
      <c r="L63" s="27"/>
      <c r="M63" s="30"/>
      <c r="N63" s="30"/>
      <c r="O63" s="2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9.5" customHeight="1">
      <c r="A64" s="26">
        <v>44976.0</v>
      </c>
      <c r="B64" s="27"/>
      <c r="C64" s="27"/>
      <c r="D64" s="19"/>
      <c r="E64" s="19"/>
      <c r="F64" s="27"/>
      <c r="G64" s="27"/>
      <c r="H64" s="27">
        <f>-sum(51.01,39.98,17.99)</f>
        <v>-108.98</v>
      </c>
      <c r="I64" s="27">
        <f>-sum(4.48,49.25,6.5)</f>
        <v>-60.23</v>
      </c>
      <c r="J64" s="19"/>
      <c r="K64" s="19"/>
      <c r="L64" s="19"/>
      <c r="M64" s="30"/>
      <c r="N64" s="30"/>
      <c r="O64" s="2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9.5" customHeight="1">
      <c r="A65" s="26">
        <v>44977.0</v>
      </c>
      <c r="B65" s="27"/>
      <c r="C65" s="27"/>
      <c r="D65" s="19"/>
      <c r="E65" s="19"/>
      <c r="F65" s="27">
        <v>14.37</v>
      </c>
      <c r="G65" s="27">
        <f>-sum(33.5,23.3)</f>
        <v>-56.8</v>
      </c>
      <c r="H65" s="19"/>
      <c r="I65" s="19"/>
      <c r="J65" s="19"/>
      <c r="K65" s="19"/>
      <c r="L65" s="19"/>
      <c r="M65" s="30"/>
      <c r="N65" s="30"/>
      <c r="O65" s="2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9.5" customHeight="1">
      <c r="A66" s="26">
        <v>44978.0</v>
      </c>
      <c r="B66" s="27"/>
      <c r="C66" s="27"/>
      <c r="D66" s="19"/>
      <c r="E66" s="19"/>
      <c r="F66" s="27">
        <v>14.05</v>
      </c>
      <c r="G66" s="27"/>
      <c r="H66" s="19">
        <f>-Sum(15,49.1,7.41,55,44.68)</f>
        <v>-171.19</v>
      </c>
      <c r="I66" s="27">
        <v>-36.5</v>
      </c>
      <c r="J66" s="19"/>
      <c r="K66" s="19"/>
      <c r="L66" s="19"/>
      <c r="M66" s="30"/>
      <c r="N66" s="30"/>
      <c r="O66" s="2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9.5" customHeight="1">
      <c r="A67" s="26">
        <v>44979.0</v>
      </c>
      <c r="B67" s="27"/>
      <c r="C67" s="27"/>
      <c r="D67" s="19"/>
      <c r="E67" s="27"/>
      <c r="F67" s="27">
        <v>-15.0</v>
      </c>
      <c r="G67" s="27">
        <v>-40.03</v>
      </c>
      <c r="H67" s="27">
        <f>-sum(7.75,14.9)</f>
        <v>-22.65</v>
      </c>
      <c r="I67" s="19"/>
      <c r="J67" s="19"/>
      <c r="K67" s="19"/>
      <c r="L67" s="19"/>
      <c r="M67" s="30"/>
      <c r="N67" s="30"/>
      <c r="O67" s="2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9.5" customHeight="1">
      <c r="A68" s="26">
        <v>44980.0</v>
      </c>
      <c r="B68" s="27"/>
      <c r="C68" s="27"/>
      <c r="D68" s="19"/>
      <c r="E68" s="27"/>
      <c r="F68" s="27"/>
      <c r="G68" s="27">
        <v>-64.99</v>
      </c>
      <c r="H68" s="19"/>
      <c r="I68" s="19"/>
      <c r="J68" s="19"/>
      <c r="K68" s="19"/>
      <c r="L68" s="19"/>
      <c r="M68" s="30"/>
      <c r="N68" s="30"/>
      <c r="O68" s="2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9.5" customHeight="1">
      <c r="A69" s="26">
        <v>44981.0</v>
      </c>
      <c r="B69" s="27"/>
      <c r="C69" s="27"/>
      <c r="D69" s="19"/>
      <c r="E69" s="27"/>
      <c r="F69" s="27">
        <v>-210.0</v>
      </c>
      <c r="G69" s="19"/>
      <c r="H69" s="27"/>
      <c r="I69" s="19"/>
      <c r="J69" s="19"/>
      <c r="K69" s="19"/>
      <c r="L69" s="27">
        <v>-171.9</v>
      </c>
      <c r="M69" s="30"/>
      <c r="N69" s="30"/>
      <c r="O69" s="2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9.5" customHeight="1">
      <c r="A70" s="26">
        <v>44982.0</v>
      </c>
      <c r="B70" s="27"/>
      <c r="C70" s="27"/>
      <c r="D70" s="19"/>
      <c r="E70" s="27"/>
      <c r="F70" s="27"/>
      <c r="G70" s="27"/>
      <c r="H70" s="19">
        <f>-sum(84.94,17.1)</f>
        <v>-102.04</v>
      </c>
      <c r="I70" s="27">
        <v>-50.44</v>
      </c>
      <c r="J70" s="19"/>
      <c r="K70" s="27"/>
      <c r="L70" s="27"/>
      <c r="M70" s="30"/>
      <c r="N70" s="30"/>
      <c r="O70" s="2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9.5" customHeight="1">
      <c r="A71" s="26">
        <v>44983.0</v>
      </c>
      <c r="B71" s="27"/>
      <c r="C71" s="27"/>
      <c r="D71" s="19"/>
      <c r="E71" s="27"/>
      <c r="F71" s="27"/>
      <c r="G71" s="27"/>
      <c r="H71" s="27">
        <v>-6.2</v>
      </c>
      <c r="I71" s="27">
        <v>-18.2</v>
      </c>
      <c r="J71" s="19"/>
      <c r="K71" s="19"/>
      <c r="L71" s="19"/>
      <c r="M71" s="30"/>
      <c r="N71" s="30"/>
      <c r="O71" s="2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9.5" customHeight="1">
      <c r="A72" s="26">
        <v>44984.0</v>
      </c>
      <c r="B72" s="27"/>
      <c r="C72" s="27"/>
      <c r="D72" s="19"/>
      <c r="E72" s="19"/>
      <c r="F72" s="27">
        <f>-sum(200,-44.4)</f>
        <v>-155.6</v>
      </c>
      <c r="G72" s="27">
        <f>-23.3*2</f>
        <v>-46.6</v>
      </c>
      <c r="H72" s="19">
        <f>-sum(6,6.3,3.03,11.15)</f>
        <v>-26.48</v>
      </c>
      <c r="I72" s="27">
        <v>-32.8</v>
      </c>
      <c r="J72" s="27"/>
      <c r="K72" s="19"/>
      <c r="L72" s="19"/>
      <c r="M72" s="30"/>
      <c r="N72" s="30"/>
      <c r="O72" s="2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9.5" customHeight="1">
      <c r="A73" s="26">
        <v>44985.0</v>
      </c>
      <c r="B73" s="27"/>
      <c r="C73" s="27"/>
      <c r="D73" s="19"/>
      <c r="E73" s="27"/>
      <c r="F73" s="19">
        <f>-sum(16)</f>
        <v>-16</v>
      </c>
      <c r="G73" s="27">
        <v>-417.0</v>
      </c>
      <c r="H73" s="27">
        <f>-sum(81.11,-7,11.75,33.16,53.3)</f>
        <v>-172.32</v>
      </c>
      <c r="I73" s="27">
        <v>-35.95</v>
      </c>
      <c r="J73" s="19"/>
      <c r="K73" s="19"/>
      <c r="L73" s="19"/>
      <c r="M73" s="30"/>
      <c r="N73" s="30"/>
      <c r="O73" s="2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9.5" customHeight="1">
      <c r="A74" s="26">
        <v>44986.0</v>
      </c>
      <c r="B74" s="19"/>
      <c r="C74" s="27"/>
      <c r="D74" s="19"/>
      <c r="E74" s="27"/>
      <c r="F74" s="27"/>
      <c r="G74" s="27">
        <v>-9.99</v>
      </c>
      <c r="H74" s="19"/>
      <c r="I74" s="19"/>
      <c r="J74" s="19"/>
      <c r="K74" s="19"/>
      <c r="L74" s="27"/>
      <c r="M74" s="30"/>
      <c r="N74" s="3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9.5" customHeight="1">
      <c r="A75" s="26">
        <v>44987.0</v>
      </c>
      <c r="B75" s="19"/>
      <c r="C75" s="27"/>
      <c r="D75" s="19"/>
      <c r="E75" s="19"/>
      <c r="F75" s="27">
        <v>44.4</v>
      </c>
      <c r="G75" s="27"/>
      <c r="H75" s="27">
        <v>-11.45</v>
      </c>
      <c r="I75" s="27">
        <v>-50.5</v>
      </c>
      <c r="J75" s="19"/>
      <c r="K75" s="27"/>
      <c r="L75" s="19"/>
      <c r="M75" s="30"/>
      <c r="N75" s="3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9.5" customHeight="1">
      <c r="A76" s="26">
        <v>44988.0</v>
      </c>
      <c r="B76" s="19"/>
      <c r="C76" s="27"/>
      <c r="D76" s="19"/>
      <c r="E76" s="27"/>
      <c r="F76" s="27"/>
      <c r="G76" s="27"/>
      <c r="H76" s="19"/>
      <c r="I76" s="27"/>
      <c r="J76" s="19"/>
      <c r="K76" s="19"/>
      <c r="L76" s="27">
        <v>-171.9</v>
      </c>
      <c r="M76" s="30"/>
      <c r="N76" s="3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9.5" customHeight="1">
      <c r="A77" s="26">
        <v>44989.0</v>
      </c>
      <c r="B77" s="19"/>
      <c r="C77" s="27"/>
      <c r="D77" s="19"/>
      <c r="E77" s="19"/>
      <c r="G77" s="19"/>
      <c r="H77" s="29">
        <f>-sum(2.95,46.99)</f>
        <v>-49.94</v>
      </c>
      <c r="I77" s="27">
        <v>-32.0</v>
      </c>
      <c r="J77" s="19"/>
      <c r="K77" s="27"/>
      <c r="L77" s="27"/>
      <c r="M77" s="30"/>
      <c r="N77" s="3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9.5" customHeight="1">
      <c r="A78" s="26">
        <v>44990.0</v>
      </c>
      <c r="B78" s="19"/>
      <c r="C78" s="27"/>
      <c r="D78" s="19"/>
      <c r="E78" s="19"/>
      <c r="F78" s="19"/>
      <c r="G78" s="27"/>
      <c r="H78" s="19">
        <f>-sum(26.74,8.2,16.5,9.45)</f>
        <v>-60.89</v>
      </c>
      <c r="I78" s="19"/>
      <c r="J78" s="19"/>
      <c r="K78" s="27"/>
      <c r="L78" s="19"/>
      <c r="M78" s="30"/>
      <c r="N78" s="3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9.5" customHeight="1">
      <c r="A79" s="26">
        <v>44991.0</v>
      </c>
      <c r="B79" s="19"/>
      <c r="C79" s="27"/>
      <c r="D79" s="19"/>
      <c r="E79" s="27"/>
      <c r="F79" s="27"/>
      <c r="G79" s="27">
        <f>-sum(33.5,23.3*2,29.17)</f>
        <v>-109.27</v>
      </c>
      <c r="H79" s="19"/>
      <c r="I79" s="27"/>
      <c r="J79" s="19"/>
      <c r="K79" s="27">
        <f>-sum(705,1385)</f>
        <v>-2090</v>
      </c>
      <c r="L79" s="27"/>
      <c r="M79" s="30"/>
      <c r="N79" s="3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9.5" customHeight="1">
      <c r="A80" s="26">
        <v>44992.0</v>
      </c>
      <c r="B80" s="19"/>
      <c r="C80" s="27"/>
      <c r="D80" s="19"/>
      <c r="E80" s="27"/>
      <c r="F80" s="27"/>
      <c r="G80" s="27"/>
      <c r="H80" s="27"/>
      <c r="I80" s="27"/>
      <c r="J80" s="19"/>
      <c r="K80" s="19"/>
      <c r="L80" s="19"/>
      <c r="M80" s="30"/>
      <c r="N80" s="3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9.5" customHeight="1">
      <c r="A81" s="26">
        <v>44993.0</v>
      </c>
      <c r="B81" s="19"/>
      <c r="C81" s="27"/>
      <c r="D81" s="19"/>
      <c r="E81" s="27"/>
      <c r="F81" s="27"/>
      <c r="G81" s="27"/>
      <c r="H81" s="27">
        <v>-21.25</v>
      </c>
      <c r="I81" s="27">
        <v>-6.0</v>
      </c>
      <c r="J81" s="19"/>
      <c r="K81" s="19"/>
      <c r="L81" s="19"/>
      <c r="M81" s="30"/>
      <c r="N81" s="3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9.5" customHeight="1">
      <c r="A82" s="26">
        <v>44994.0</v>
      </c>
      <c r="B82" s="19"/>
      <c r="C82" s="27"/>
      <c r="D82" s="19"/>
      <c r="E82" s="19"/>
      <c r="F82" s="27"/>
      <c r="G82" s="27"/>
      <c r="H82" s="19"/>
      <c r="I82" s="19"/>
      <c r="J82" s="19"/>
      <c r="K82" s="19"/>
      <c r="L82" s="19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9.5" customHeight="1">
      <c r="A83" s="26">
        <v>44995.0</v>
      </c>
      <c r="B83" s="19"/>
      <c r="C83" s="27"/>
      <c r="D83" s="19"/>
      <c r="E83" s="27"/>
      <c r="F83" s="27"/>
      <c r="G83" s="27"/>
      <c r="H83" s="19"/>
      <c r="I83" s="19"/>
      <c r="J83" s="19"/>
      <c r="K83" s="19"/>
      <c r="L83" s="27">
        <v>-171.9</v>
      </c>
      <c r="M83" s="30"/>
      <c r="N83" s="3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9.5" customHeight="1">
      <c r="A84" s="26">
        <v>44996.0</v>
      </c>
      <c r="B84" s="19"/>
      <c r="C84" s="27"/>
      <c r="D84" s="19"/>
      <c r="E84" s="27"/>
      <c r="F84" s="19"/>
      <c r="G84" s="27"/>
      <c r="H84" s="19">
        <f>-sum(64.36,21.13,14.8,2.8,58.7)</f>
        <v>-161.79</v>
      </c>
      <c r="I84" s="27"/>
      <c r="J84" s="19"/>
      <c r="K84" s="19"/>
      <c r="L84" s="27"/>
      <c r="M84" s="30"/>
      <c r="N84" s="3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9.5" customHeight="1">
      <c r="A85" s="26">
        <v>44997.0</v>
      </c>
      <c r="B85" s="19"/>
      <c r="C85" s="27"/>
      <c r="D85" s="19"/>
      <c r="E85" s="27"/>
      <c r="F85" s="27"/>
      <c r="G85" s="19"/>
      <c r="H85" s="19">
        <f>-sum(3.5,6.75,13.1)</f>
        <v>-23.35</v>
      </c>
      <c r="I85" s="27">
        <v>-15.0</v>
      </c>
      <c r="J85" s="19"/>
      <c r="K85" s="19"/>
      <c r="L85" s="19"/>
      <c r="M85" s="30"/>
      <c r="N85" s="3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9.5" customHeight="1">
      <c r="A86" s="26">
        <v>44998.0</v>
      </c>
      <c r="B86" s="19"/>
      <c r="C86" s="27"/>
      <c r="D86" s="19"/>
      <c r="E86" s="27"/>
      <c r="F86" s="27">
        <v>-100.78</v>
      </c>
      <c r="G86" s="27">
        <f>-23.3*2</f>
        <v>-46.6</v>
      </c>
      <c r="H86" s="27"/>
      <c r="I86" s="27"/>
      <c r="J86" s="19"/>
      <c r="K86" s="27">
        <v>-500.0</v>
      </c>
      <c r="L86" s="19"/>
      <c r="M86" s="30"/>
      <c r="N86" s="3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9.5" customHeight="1">
      <c r="A87" s="26">
        <v>44999.0</v>
      </c>
      <c r="B87" s="19"/>
      <c r="C87" s="27"/>
      <c r="D87" s="19"/>
      <c r="E87" s="27"/>
      <c r="F87" s="27">
        <v>-19.92</v>
      </c>
      <c r="G87" s="27"/>
      <c r="H87" s="27">
        <v>-19.1</v>
      </c>
      <c r="I87" s="27">
        <f>-sum(10.15,86.1,15)</f>
        <v>-111.25</v>
      </c>
      <c r="J87" s="19"/>
      <c r="K87" s="19"/>
      <c r="L87" s="19"/>
      <c r="M87" s="30"/>
      <c r="N87" s="3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9.5" customHeight="1">
      <c r="A88" s="26">
        <v>45000.0</v>
      </c>
      <c r="B88" s="19"/>
      <c r="C88" s="27"/>
      <c r="D88" s="19"/>
      <c r="E88" s="27"/>
      <c r="G88" s="27"/>
      <c r="H88" s="19"/>
      <c r="I88" s="19"/>
      <c r="J88" s="19"/>
      <c r="K88" s="19"/>
      <c r="L88" s="19"/>
      <c r="M88" s="30"/>
      <c r="N88" s="3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9.5" customHeight="1">
      <c r="A89" s="26">
        <v>45001.0</v>
      </c>
      <c r="B89" s="19"/>
      <c r="C89" s="27"/>
      <c r="D89" s="19"/>
      <c r="E89" s="27"/>
      <c r="F89" s="27"/>
      <c r="G89" s="27"/>
      <c r="H89" s="27"/>
      <c r="I89" s="27"/>
      <c r="J89" s="19"/>
      <c r="K89" s="19"/>
      <c r="L89" s="27"/>
      <c r="M89" s="30"/>
      <c r="N89" s="3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9.5" customHeight="1">
      <c r="A90" s="26">
        <v>45002.0</v>
      </c>
      <c r="B90" s="19"/>
      <c r="C90" s="27"/>
      <c r="D90" s="19"/>
      <c r="E90" s="19"/>
      <c r="F90" s="27"/>
      <c r="G90" s="27">
        <f>-sum(764.7,1796.85)</f>
        <v>-2561.55</v>
      </c>
      <c r="H90" s="19">
        <f>-sum(38,13)</f>
        <v>-51</v>
      </c>
      <c r="I90" s="27">
        <v>-42.4</v>
      </c>
      <c r="J90" s="19"/>
      <c r="K90" s="19"/>
      <c r="L90" s="27">
        <v>-171.9</v>
      </c>
      <c r="M90" s="30"/>
      <c r="N90" s="30"/>
      <c r="O90" s="2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9.5" customHeight="1">
      <c r="A91" s="26">
        <v>45003.0</v>
      </c>
      <c r="B91" s="19"/>
      <c r="C91" s="27"/>
      <c r="D91" s="19"/>
      <c r="E91" s="27"/>
      <c r="F91" s="27"/>
      <c r="G91" s="27">
        <v>-34.39</v>
      </c>
      <c r="H91" s="19"/>
      <c r="I91" s="19"/>
      <c r="J91" s="19"/>
      <c r="K91" s="27"/>
      <c r="L91" s="27"/>
      <c r="M91" s="30"/>
      <c r="N91" s="3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9.5" customHeight="1">
      <c r="A92" s="26">
        <v>45004.0</v>
      </c>
      <c r="B92" s="19"/>
      <c r="C92" s="27"/>
      <c r="D92" s="19"/>
      <c r="E92" s="19"/>
      <c r="F92" s="27"/>
      <c r="G92" s="27"/>
      <c r="H92" s="19">
        <f>-sum(15,19,5,15,92.51,7)</f>
        <v>-153.51</v>
      </c>
      <c r="I92" s="27">
        <v>-60.75</v>
      </c>
      <c r="J92" s="19"/>
      <c r="K92" s="27"/>
      <c r="L92" s="27"/>
      <c r="M92" s="30"/>
      <c r="N92" s="3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9.5" customHeight="1">
      <c r="A93" s="26">
        <v>45005.0</v>
      </c>
      <c r="B93" s="19"/>
      <c r="C93" s="27"/>
      <c r="D93" s="19"/>
      <c r="E93" s="27"/>
      <c r="F93" s="27"/>
      <c r="G93" s="27">
        <f>-sum(23.3*2,33.5)</f>
        <v>-80.1</v>
      </c>
      <c r="H93" s="19"/>
      <c r="I93" s="27"/>
      <c r="J93" s="19"/>
      <c r="K93" s="27"/>
      <c r="L93" s="19"/>
      <c r="M93" s="30"/>
      <c r="N93" s="3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9.5" customHeight="1">
      <c r="A94" s="26">
        <v>45006.0</v>
      </c>
      <c r="B94" s="19"/>
      <c r="C94" s="27"/>
      <c r="D94" s="19"/>
      <c r="E94" s="27">
        <v>-20.0</v>
      </c>
      <c r="F94" s="27">
        <f>-sum(3,24.49)</f>
        <v>-27.49</v>
      </c>
      <c r="G94" s="27">
        <v>-19.07</v>
      </c>
      <c r="H94" s="19">
        <f>-sum(58.32,26.88)</f>
        <v>-85.2</v>
      </c>
      <c r="I94" s="19"/>
      <c r="J94" s="19"/>
      <c r="K94" s="27"/>
      <c r="L94" s="27"/>
      <c r="M94" s="30"/>
      <c r="N94" s="3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9.5" customHeight="1">
      <c r="A95" s="26">
        <v>45007.0</v>
      </c>
      <c r="B95" s="19"/>
      <c r="C95" s="27"/>
      <c r="D95" s="19"/>
      <c r="E95" s="27"/>
      <c r="F95" s="27"/>
      <c r="G95" s="27">
        <v>-40.03</v>
      </c>
      <c r="H95" s="19">
        <f>-sum(3)</f>
        <v>-3</v>
      </c>
      <c r="I95" s="19"/>
      <c r="J95" s="19"/>
      <c r="K95" s="19"/>
      <c r="L95" s="19"/>
      <c r="M95" s="30"/>
      <c r="N95" s="3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9.5" customHeight="1">
      <c r="A96" s="26">
        <v>45008.0</v>
      </c>
      <c r="B96" s="19"/>
      <c r="C96" s="27"/>
      <c r="D96" s="19"/>
      <c r="E96" s="27">
        <f>-sum(1815.07,79.65)</f>
        <v>-1894.72</v>
      </c>
      <c r="F96" s="27">
        <v>-97.61</v>
      </c>
      <c r="G96" s="19"/>
      <c r="H96" s="19">
        <f>-sum(6.88,39.98)</f>
        <v>-46.86</v>
      </c>
      <c r="I96" s="19"/>
      <c r="J96" s="19"/>
      <c r="K96" s="27"/>
      <c r="L96" s="19"/>
      <c r="M96" s="30"/>
      <c r="N96" s="3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9.5" customHeight="1">
      <c r="A97" s="26">
        <v>45009.0</v>
      </c>
      <c r="B97" s="19"/>
      <c r="C97" s="27"/>
      <c r="D97" s="19"/>
      <c r="E97" s="19"/>
      <c r="F97" s="27">
        <v>-73.75</v>
      </c>
      <c r="G97" s="27"/>
      <c r="H97" s="19"/>
      <c r="I97" s="27"/>
      <c r="J97" s="19"/>
      <c r="K97" s="19"/>
      <c r="L97" s="27">
        <v>-171.9</v>
      </c>
      <c r="M97" s="30"/>
      <c r="N97" s="3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9.5" customHeight="1">
      <c r="A98" s="26">
        <v>45010.0</v>
      </c>
      <c r="B98" s="19"/>
      <c r="C98" s="27"/>
      <c r="D98" s="19"/>
      <c r="E98" s="19"/>
      <c r="F98" s="27"/>
      <c r="G98" s="27"/>
      <c r="H98" s="27">
        <f>-sum(15,58.35,57.6,47,29.99)</f>
        <v>-207.94</v>
      </c>
      <c r="I98" s="27">
        <v>-71.34</v>
      </c>
      <c r="J98" s="27"/>
      <c r="K98" s="19"/>
      <c r="L98" s="27"/>
      <c r="M98" s="30"/>
      <c r="N98" s="3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9.5" customHeight="1">
      <c r="A99" s="26">
        <v>45011.0</v>
      </c>
      <c r="B99" s="19"/>
      <c r="C99" s="27"/>
      <c r="D99" s="19"/>
      <c r="E99" s="27"/>
      <c r="F99" s="27"/>
      <c r="G99" s="19"/>
      <c r="H99" s="19"/>
      <c r="I99" s="27"/>
      <c r="J99" s="27"/>
      <c r="K99" s="19"/>
      <c r="L99" s="19"/>
      <c r="M99" s="30"/>
      <c r="N99" s="3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9.5" customHeight="1">
      <c r="A100" s="26">
        <v>45012.0</v>
      </c>
      <c r="B100" s="19"/>
      <c r="C100" s="27"/>
      <c r="D100" s="19"/>
      <c r="E100" s="19"/>
      <c r="F100" s="27"/>
      <c r="G100" s="27">
        <v>-46.6</v>
      </c>
      <c r="H100" s="19">
        <f>-sum(59.97)</f>
        <v>-59.97</v>
      </c>
      <c r="I100" s="27">
        <v>-56.8</v>
      </c>
      <c r="J100" s="19"/>
      <c r="K100" s="19"/>
      <c r="L100" s="19"/>
      <c r="M100" s="30"/>
      <c r="N100" s="3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9.5" customHeight="1">
      <c r="A101" s="26">
        <v>45013.0</v>
      </c>
      <c r="B101" s="19"/>
      <c r="C101" s="27"/>
      <c r="D101" s="19"/>
      <c r="E101" s="19"/>
      <c r="F101" s="27">
        <v>-65.97</v>
      </c>
      <c r="G101" s="27">
        <v>-64.99</v>
      </c>
      <c r="H101" s="27"/>
      <c r="I101" s="19"/>
      <c r="J101" s="19"/>
      <c r="K101" s="19"/>
      <c r="L101" s="27"/>
      <c r="M101" s="30"/>
      <c r="N101" s="3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9.5" customHeight="1">
      <c r="A102" s="26">
        <v>45014.0</v>
      </c>
      <c r="B102" s="19"/>
      <c r="C102" s="27"/>
      <c r="D102" s="19"/>
      <c r="E102" s="19"/>
      <c r="F102" s="27"/>
      <c r="G102" s="27"/>
      <c r="H102" s="19"/>
      <c r="I102" s="27">
        <v>-5.5</v>
      </c>
      <c r="J102" s="19"/>
      <c r="K102" s="19"/>
      <c r="L102" s="19"/>
      <c r="M102" s="30"/>
      <c r="N102" s="3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9.5" customHeight="1">
      <c r="A103" s="26">
        <v>45015.0</v>
      </c>
      <c r="B103" s="19"/>
      <c r="C103" s="27"/>
      <c r="D103" s="19"/>
      <c r="E103" s="19"/>
      <c r="F103" s="27"/>
      <c r="G103" s="27">
        <v>-37.43</v>
      </c>
      <c r="H103" s="19"/>
      <c r="I103" s="27">
        <v>-61.1</v>
      </c>
      <c r="J103" s="19"/>
      <c r="K103" s="19"/>
      <c r="L103" s="19"/>
      <c r="M103" s="30"/>
      <c r="N103" s="3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9.5" customHeight="1">
      <c r="A104" s="26">
        <v>45016.0</v>
      </c>
      <c r="B104" s="19"/>
      <c r="C104" s="27"/>
      <c r="D104" s="19"/>
      <c r="E104" s="27"/>
      <c r="F104" s="27">
        <v>-4.0</v>
      </c>
      <c r="G104" s="27"/>
      <c r="H104" s="19">
        <f>-sum(62.25,41.73)</f>
        <v>-103.98</v>
      </c>
      <c r="I104" s="19"/>
      <c r="J104" s="19"/>
      <c r="K104" s="19"/>
      <c r="L104" s="27">
        <v>-171.9</v>
      </c>
      <c r="M104" s="30"/>
      <c r="N104" s="3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9.5" customHeight="1">
      <c r="A105" s="26">
        <v>45017.0</v>
      </c>
      <c r="B105" s="19"/>
      <c r="C105" s="27"/>
      <c r="D105" s="19"/>
      <c r="E105" s="27"/>
      <c r="F105" s="27"/>
      <c r="G105" s="27">
        <v>-9.99</v>
      </c>
      <c r="H105" s="19"/>
      <c r="I105" s="27"/>
      <c r="J105" s="19"/>
      <c r="K105" s="19"/>
      <c r="L105" s="27"/>
      <c r="M105" s="30"/>
      <c r="N105" s="3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9.5" customHeight="1">
      <c r="A106" s="26">
        <v>45018.0</v>
      </c>
      <c r="B106" s="19"/>
      <c r="C106" s="27"/>
      <c r="D106" s="19"/>
      <c r="E106" s="19"/>
      <c r="F106" s="19"/>
      <c r="G106" s="19">
        <v>9.6</v>
      </c>
      <c r="H106" s="19"/>
      <c r="I106" s="27"/>
      <c r="J106" s="19"/>
      <c r="K106" s="19"/>
      <c r="L106" s="19"/>
      <c r="M106" s="30"/>
      <c r="N106" s="3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9.5" customHeight="1">
      <c r="A107" s="26">
        <v>45019.0</v>
      </c>
      <c r="B107" s="19"/>
      <c r="C107" s="27"/>
      <c r="D107" s="19"/>
      <c r="E107" s="27"/>
      <c r="F107" s="27"/>
      <c r="G107" s="27">
        <f>-sum(23.3*2,33.5)</f>
        <v>-80.1</v>
      </c>
      <c r="H107" s="19">
        <f>-sum(5.61,108.78)</f>
        <v>-114.39</v>
      </c>
      <c r="I107" s="27"/>
      <c r="J107" s="19"/>
      <c r="K107" s="27">
        <v>-500.0</v>
      </c>
      <c r="L107" s="19"/>
      <c r="M107" s="30"/>
      <c r="N107" s="3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9.5" customHeight="1">
      <c r="A108" s="26">
        <v>45020.0</v>
      </c>
      <c r="B108" s="19"/>
      <c r="C108" s="27"/>
      <c r="D108" s="19"/>
      <c r="E108" s="19"/>
      <c r="F108" s="27">
        <v>-7.52</v>
      </c>
      <c r="G108" s="27">
        <v>-24.0</v>
      </c>
      <c r="H108" s="19">
        <f>-sum(57.05,10.74,8.39,12.5,4.99)</f>
        <v>-93.67</v>
      </c>
      <c r="I108" s="19">
        <f>-sum(12.1,19.8)</f>
        <v>-31.9</v>
      </c>
      <c r="J108" s="19"/>
      <c r="K108" s="19"/>
      <c r="L108" s="19"/>
      <c r="M108" s="30"/>
      <c r="N108" s="3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9.5" customHeight="1">
      <c r="A109" s="26">
        <v>45021.0</v>
      </c>
      <c r="B109" s="19"/>
      <c r="C109" s="27"/>
      <c r="D109" s="19"/>
      <c r="E109" s="19"/>
      <c r="F109" s="27">
        <v>-15.0</v>
      </c>
      <c r="G109" s="27">
        <v>-94.39</v>
      </c>
      <c r="H109" s="27">
        <v>-8.3</v>
      </c>
      <c r="I109" s="27">
        <v>-88.84</v>
      </c>
      <c r="J109" s="19"/>
      <c r="K109" s="19"/>
      <c r="L109" s="19"/>
      <c r="M109" s="30"/>
      <c r="N109" s="3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9.5" customHeight="1">
      <c r="A110" s="26">
        <v>45022.0</v>
      </c>
      <c r="B110" s="19"/>
      <c r="C110" s="27"/>
      <c r="D110" s="19"/>
      <c r="E110" s="19"/>
      <c r="F110" s="27">
        <v>180</v>
      </c>
      <c r="G110" s="27">
        <v>-29.17</v>
      </c>
      <c r="H110" s="19"/>
      <c r="I110" s="27"/>
      <c r="J110" s="19"/>
      <c r="K110" s="19">
        <f>-sum(705,1385)</f>
        <v>-2090</v>
      </c>
      <c r="L110" s="19"/>
      <c r="M110" s="30"/>
      <c r="N110" s="3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9.5" customHeight="1">
      <c r="A111" s="26">
        <v>45023.0</v>
      </c>
      <c r="B111" s="19"/>
      <c r="C111" s="27"/>
      <c r="D111" s="19"/>
      <c r="E111" s="27"/>
      <c r="F111" s="27">
        <v>-10.0</v>
      </c>
      <c r="G111" s="27"/>
      <c r="H111" s="19"/>
      <c r="I111" s="27"/>
      <c r="J111" s="19"/>
      <c r="K111" s="19"/>
      <c r="L111" s="19"/>
      <c r="M111" s="30"/>
      <c r="N111" s="3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9.5" customHeight="1">
      <c r="A112" s="26">
        <v>45024.0</v>
      </c>
      <c r="B112" s="19"/>
      <c r="C112" s="27"/>
      <c r="D112" s="19"/>
      <c r="E112" s="19"/>
      <c r="F112" s="27"/>
      <c r="G112" s="19"/>
      <c r="H112" s="27"/>
      <c r="I112" s="19"/>
      <c r="J112" s="19"/>
      <c r="K112" s="19"/>
      <c r="L112" s="27"/>
      <c r="M112" s="30"/>
      <c r="N112" s="3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9.5" customHeight="1">
      <c r="A113" s="26">
        <v>45025.0</v>
      </c>
      <c r="B113" s="19"/>
      <c r="C113" s="27"/>
      <c r="D113" s="19"/>
      <c r="E113" s="27">
        <v>-13.44</v>
      </c>
      <c r="F113" s="27">
        <f>-sum(29,6)</f>
        <v>-35</v>
      </c>
      <c r="G113" s="27"/>
      <c r="H113" s="19"/>
      <c r="I113" s="27">
        <f>-sum(9.9,12,30.52,20.1)</f>
        <v>-72.52</v>
      </c>
      <c r="J113" s="19"/>
      <c r="K113" s="19"/>
      <c r="L113" s="19"/>
      <c r="M113" s="30"/>
      <c r="N113" s="3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9.5" customHeight="1">
      <c r="A114" s="26">
        <v>45026.0</v>
      </c>
      <c r="B114" s="19"/>
      <c r="C114" s="27"/>
      <c r="D114" s="19"/>
      <c r="E114" s="27"/>
      <c r="F114" s="27"/>
      <c r="G114" s="27"/>
      <c r="H114" s="19">
        <f>-sum(6,79.65)</f>
        <v>-85.65</v>
      </c>
      <c r="I114" s="29">
        <v>-134.12</v>
      </c>
      <c r="J114" s="19"/>
      <c r="K114" s="19"/>
      <c r="L114" s="19"/>
      <c r="M114" s="30"/>
      <c r="N114" s="3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9.5" customHeight="1">
      <c r="A115" s="26">
        <v>45027.0</v>
      </c>
      <c r="B115" s="19"/>
      <c r="C115" s="27"/>
      <c r="D115" s="19"/>
      <c r="E115" s="27"/>
      <c r="F115" s="27">
        <f>-sum(5,15,2,3.75)</f>
        <v>-25.75</v>
      </c>
      <c r="G115" s="27">
        <f>-23.3</f>
        <v>-23.3</v>
      </c>
      <c r="H115" s="19">
        <f>-sum(74.8)</f>
        <v>-74.8</v>
      </c>
      <c r="I115" s="27">
        <f>-sum(67.99,7.8,16)</f>
        <v>-91.79</v>
      </c>
      <c r="J115" s="19"/>
      <c r="K115" s="19"/>
      <c r="L115" s="19"/>
      <c r="M115" s="30"/>
      <c r="N115" s="3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9.5" customHeight="1">
      <c r="A116" s="26">
        <v>45028.0</v>
      </c>
      <c r="B116" s="19"/>
      <c r="C116" s="27"/>
      <c r="D116" s="19"/>
      <c r="E116" s="27"/>
      <c r="F116" s="27">
        <f>-sum(15,20)</f>
        <v>-35</v>
      </c>
      <c r="G116" s="27"/>
      <c r="H116" s="19">
        <f>-sum(127.41,26,12)</f>
        <v>-165.41</v>
      </c>
      <c r="I116" s="19">
        <f>-sum(9.2)</f>
        <v>-9.2</v>
      </c>
      <c r="J116" s="19"/>
      <c r="K116" s="19"/>
      <c r="L116" s="19"/>
      <c r="M116" s="30"/>
      <c r="N116" s="3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9.5" customHeight="1">
      <c r="A117" s="26">
        <v>45029.0</v>
      </c>
      <c r="B117" s="19"/>
      <c r="C117" s="27"/>
      <c r="D117" s="19"/>
      <c r="E117" s="27"/>
      <c r="F117" s="27">
        <v>-20.0</v>
      </c>
      <c r="G117" s="27">
        <v>-4.49</v>
      </c>
      <c r="H117" s="27">
        <v>-47.2</v>
      </c>
      <c r="I117" s="27">
        <v>-217.6</v>
      </c>
      <c r="J117" s="19"/>
      <c r="K117" s="27"/>
      <c r="L117" s="19"/>
      <c r="M117" s="30"/>
      <c r="N117" s="3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9.5" customHeight="1">
      <c r="A118" s="26">
        <v>45030.0</v>
      </c>
      <c r="B118" s="19"/>
      <c r="C118" s="27"/>
      <c r="D118" s="19"/>
      <c r="E118" s="27"/>
      <c r="F118" s="27"/>
      <c r="G118" s="27"/>
      <c r="H118" s="27">
        <v>-29.9</v>
      </c>
      <c r="I118" s="19"/>
      <c r="J118" s="19"/>
      <c r="K118" s="27"/>
      <c r="L118" s="19">
        <f>-sum(171.9,343.8)</f>
        <v>-515.7</v>
      </c>
      <c r="M118" s="30"/>
      <c r="N118" s="3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9.5" customHeight="1">
      <c r="A119" s="26">
        <v>45031.0</v>
      </c>
      <c r="B119" s="19"/>
      <c r="C119" s="27"/>
      <c r="D119" s="19"/>
      <c r="E119" s="27"/>
      <c r="F119" s="27"/>
      <c r="G119" s="27"/>
      <c r="H119" s="19"/>
      <c r="I119" s="19"/>
      <c r="J119" s="19"/>
      <c r="K119" s="27"/>
      <c r="L119" s="19"/>
      <c r="M119" s="30"/>
      <c r="N119" s="3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9.5" customHeight="1">
      <c r="A120" s="26">
        <v>45032.0</v>
      </c>
      <c r="B120" s="19"/>
      <c r="C120" s="27"/>
      <c r="D120" s="19"/>
      <c r="E120" s="27"/>
      <c r="F120" s="27"/>
      <c r="G120" s="27"/>
      <c r="H120" s="27">
        <v>-15.6</v>
      </c>
      <c r="I120" s="27"/>
      <c r="J120" s="19"/>
      <c r="K120" s="19"/>
      <c r="L120" s="19"/>
      <c r="M120" s="30"/>
      <c r="N120" s="3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9.5" customHeight="1">
      <c r="A121" s="26">
        <v>45033.0</v>
      </c>
      <c r="B121" s="19"/>
      <c r="C121" s="27"/>
      <c r="D121" s="19"/>
      <c r="E121" s="27"/>
      <c r="F121" s="27">
        <v>-30.0</v>
      </c>
      <c r="G121" s="27">
        <f>-sum(23.3*3,33.5)</f>
        <v>-103.4</v>
      </c>
      <c r="H121" s="27">
        <f>-sum(66.91,67.64)</f>
        <v>-134.55</v>
      </c>
      <c r="I121" s="19"/>
      <c r="J121" s="19"/>
      <c r="K121" s="19"/>
      <c r="L121" s="19"/>
      <c r="M121" s="30"/>
      <c r="N121" s="3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9.5" customHeight="1">
      <c r="A122" s="26">
        <v>45034.0</v>
      </c>
      <c r="B122" s="19"/>
      <c r="C122" s="27"/>
      <c r="D122" s="19"/>
      <c r="E122" s="27"/>
      <c r="F122" s="27">
        <v>-0.99</v>
      </c>
      <c r="G122" s="27">
        <v>-32.86</v>
      </c>
      <c r="H122" s="27">
        <f>-sum(74.3,19.2)</f>
        <v>-93.5</v>
      </c>
      <c r="I122" s="19"/>
      <c r="J122" s="19"/>
      <c r="K122" s="19"/>
      <c r="L122" s="19"/>
      <c r="M122" s="30"/>
      <c r="N122" s="3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9.5" customHeight="1">
      <c r="A123" s="26">
        <v>45035.0</v>
      </c>
      <c r="B123" s="19"/>
      <c r="C123" s="27"/>
      <c r="D123" s="19"/>
      <c r="E123" s="19"/>
      <c r="F123" s="27">
        <v>-45.0</v>
      </c>
      <c r="G123" s="27"/>
      <c r="H123" s="27">
        <v>3.8</v>
      </c>
      <c r="I123" s="19">
        <f>-sum(4.9,16.5)</f>
        <v>-21.4</v>
      </c>
      <c r="J123" s="19"/>
      <c r="K123" s="27"/>
      <c r="L123" s="27"/>
      <c r="M123" s="30"/>
      <c r="N123" s="3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9.5" customHeight="1">
      <c r="A124" s="26">
        <v>45036.0</v>
      </c>
      <c r="B124" s="19"/>
      <c r="C124" s="27"/>
      <c r="D124" s="19"/>
      <c r="E124" s="27"/>
      <c r="F124" s="27"/>
      <c r="G124" s="27"/>
      <c r="H124" s="19"/>
      <c r="I124" s="19"/>
      <c r="J124" s="19"/>
      <c r="K124" s="19"/>
      <c r="L124" s="19"/>
      <c r="M124" s="30"/>
      <c r="N124" s="3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9.5" customHeight="1">
      <c r="A125" s="26">
        <v>45037.0</v>
      </c>
      <c r="B125" s="19"/>
      <c r="C125" s="27"/>
      <c r="D125" s="19"/>
      <c r="E125" s="19"/>
      <c r="F125" s="27"/>
      <c r="G125" s="27"/>
      <c r="H125" s="27">
        <v>-9.45</v>
      </c>
      <c r="I125" s="19"/>
      <c r="J125" s="19"/>
      <c r="K125" s="19"/>
      <c r="L125" s="19"/>
      <c r="M125" s="30"/>
      <c r="N125" s="3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9.5" customHeight="1">
      <c r="A126" s="26">
        <v>45038.0</v>
      </c>
      <c r="B126" s="19"/>
      <c r="C126" s="27"/>
      <c r="D126" s="19"/>
      <c r="E126" s="19"/>
      <c r="F126" s="27">
        <v>-207.98</v>
      </c>
      <c r="G126" s="27"/>
      <c r="H126" s="19"/>
      <c r="I126" s="27">
        <v>-18.3</v>
      </c>
      <c r="J126" s="19"/>
      <c r="K126" s="19"/>
      <c r="L126" s="27"/>
      <c r="M126" s="30"/>
      <c r="N126" s="3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9.5" customHeight="1">
      <c r="A127" s="26">
        <v>45039.0</v>
      </c>
      <c r="B127" s="19"/>
      <c r="C127" s="27"/>
      <c r="D127" s="19"/>
      <c r="E127" s="19"/>
      <c r="F127" s="27">
        <v>-30.0</v>
      </c>
      <c r="G127" s="27"/>
      <c r="H127" s="27">
        <v>-7.5</v>
      </c>
      <c r="I127" s="27">
        <v>-28.5</v>
      </c>
      <c r="J127" s="19"/>
      <c r="K127" s="27"/>
      <c r="L127" s="27"/>
      <c r="M127" s="30"/>
      <c r="N127" s="3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9.5" customHeight="1">
      <c r="A128" s="26">
        <v>45040.0</v>
      </c>
      <c r="B128" s="19"/>
      <c r="C128" s="27"/>
      <c r="D128" s="19"/>
      <c r="E128" s="19"/>
      <c r="F128" s="27">
        <v>-70.0</v>
      </c>
      <c r="G128" s="27">
        <f>-sum(23.3*2,40.03,64.99,41.35)</f>
        <v>-192.97</v>
      </c>
      <c r="H128" s="27">
        <f>-sum(43.34,56.06)</f>
        <v>-99.4</v>
      </c>
      <c r="I128" s="27">
        <v>-16.0</v>
      </c>
      <c r="J128" s="19"/>
      <c r="K128" s="27"/>
      <c r="L128" s="27"/>
      <c r="M128" s="30"/>
      <c r="N128" s="3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9.5" customHeight="1">
      <c r="A129" s="26">
        <v>45041.0</v>
      </c>
      <c r="B129" s="19"/>
      <c r="C129" s="27"/>
      <c r="D129" s="19"/>
      <c r="E129" s="27"/>
      <c r="F129" s="27">
        <f>-sum(32.08,24.15)</f>
        <v>-56.23</v>
      </c>
      <c r="G129" s="27"/>
      <c r="H129" s="27">
        <v>-39.99</v>
      </c>
      <c r="I129" s="27">
        <v>-12.7</v>
      </c>
      <c r="J129" s="19"/>
      <c r="K129" s="19"/>
      <c r="L129" s="27"/>
      <c r="M129" s="30"/>
      <c r="N129" s="3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9.5" customHeight="1">
      <c r="A130" s="26">
        <v>45042.0</v>
      </c>
      <c r="B130" s="19"/>
      <c r="C130" s="27"/>
      <c r="D130" s="19"/>
      <c r="E130" s="27"/>
      <c r="F130" s="27">
        <v>-10.59</v>
      </c>
      <c r="G130" s="27"/>
      <c r="H130" s="27">
        <v>-70.9</v>
      </c>
      <c r="I130" s="19"/>
      <c r="J130" s="19"/>
      <c r="K130" s="19"/>
      <c r="L130" s="27"/>
      <c r="M130" s="30"/>
      <c r="N130" s="3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9.5" customHeight="1">
      <c r="A131" s="26">
        <v>45043.0</v>
      </c>
      <c r="B131" s="19"/>
      <c r="C131" s="27"/>
      <c r="D131" s="19"/>
      <c r="E131" s="27"/>
      <c r="F131" s="27"/>
      <c r="G131" s="27"/>
      <c r="H131" s="19"/>
      <c r="I131" s="19"/>
      <c r="J131" s="19"/>
      <c r="K131" s="27"/>
      <c r="L131" s="19"/>
      <c r="M131" s="30"/>
      <c r="N131" s="3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9.5" customHeight="1">
      <c r="A132" s="26">
        <v>45044.0</v>
      </c>
      <c r="B132" s="19"/>
      <c r="C132" s="27"/>
      <c r="D132" s="19"/>
      <c r="E132" s="27"/>
      <c r="F132" s="27">
        <v>250.0</v>
      </c>
      <c r="G132" s="19"/>
      <c r="H132" s="19">
        <f>-sum(30,13.98,25.8,32)</f>
        <v>-101.78</v>
      </c>
      <c r="I132" s="19"/>
      <c r="J132" s="19"/>
      <c r="K132" s="19"/>
      <c r="L132" s="27">
        <v>-114.6</v>
      </c>
      <c r="M132" s="30"/>
      <c r="N132" s="3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9.5" customHeight="1">
      <c r="A133" s="26">
        <v>45045.0</v>
      </c>
      <c r="B133" s="19"/>
      <c r="C133" s="27"/>
      <c r="D133" s="19"/>
      <c r="E133" s="19"/>
      <c r="F133" s="27"/>
      <c r="G133" s="27"/>
      <c r="H133" s="27"/>
      <c r="I133" s="27">
        <v>-41.3</v>
      </c>
      <c r="J133" s="19"/>
      <c r="K133" s="19"/>
      <c r="L133" s="27"/>
      <c r="M133" s="30"/>
      <c r="N133" s="3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9.5" customHeight="1">
      <c r="A134" s="26">
        <v>45046.0</v>
      </c>
      <c r="B134" s="19"/>
      <c r="C134" s="27"/>
      <c r="D134" s="19"/>
      <c r="E134" s="19"/>
      <c r="F134" s="19"/>
      <c r="G134" s="27"/>
      <c r="H134" s="27">
        <f>-sum(40.65,21.85)</f>
        <v>-62.5</v>
      </c>
      <c r="I134" s="27">
        <f>-sum(38.19,10.94)</f>
        <v>-49.13</v>
      </c>
      <c r="J134" s="19"/>
      <c r="K134" s="19"/>
      <c r="L134" s="27"/>
      <c r="M134" s="30"/>
      <c r="N134" s="3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9.5" customHeight="1">
      <c r="A135" s="26">
        <v>45047.0</v>
      </c>
      <c r="B135" s="19"/>
      <c r="C135" s="27"/>
      <c r="D135" s="19"/>
      <c r="E135" s="27"/>
      <c r="F135" s="27"/>
      <c r="G135" s="27">
        <f>-sum(23.3*2,33.5,9.99)</f>
        <v>-90.09</v>
      </c>
      <c r="H135" s="27"/>
      <c r="I135" s="27">
        <v>-28.82</v>
      </c>
      <c r="J135" s="19"/>
      <c r="K135" s="19"/>
      <c r="L135" s="27"/>
      <c r="M135" s="30"/>
      <c r="N135" s="3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9.5" customHeight="1">
      <c r="A136" s="26">
        <v>45048.0</v>
      </c>
      <c r="B136" s="19"/>
      <c r="C136" s="27"/>
      <c r="D136" s="19"/>
      <c r="E136" s="19"/>
      <c r="F136" s="27"/>
      <c r="G136" s="27">
        <v>-272.77</v>
      </c>
      <c r="H136" s="19">
        <f>-sum(42.86,70.04)</f>
        <v>-112.9</v>
      </c>
      <c r="I136" s="27">
        <v>-17.0</v>
      </c>
      <c r="J136" s="19"/>
      <c r="K136" s="19"/>
      <c r="L136" s="27"/>
      <c r="M136" s="30"/>
      <c r="N136" s="3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9.5" customHeight="1">
      <c r="A137" s="26">
        <v>45049.0</v>
      </c>
      <c r="B137" s="19"/>
      <c r="C137" s="27"/>
      <c r="D137" s="19"/>
      <c r="E137" s="19"/>
      <c r="F137" s="27">
        <v>-6.0</v>
      </c>
      <c r="G137" s="27"/>
      <c r="H137" s="19">
        <f>-sum(41.13,24.77)</f>
        <v>-65.9</v>
      </c>
      <c r="I137" s="27">
        <v>-68.0</v>
      </c>
      <c r="J137" s="19"/>
      <c r="K137" s="27"/>
      <c r="L137" s="27"/>
      <c r="M137" s="30"/>
      <c r="N137" s="3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9.5" customHeight="1">
      <c r="A138" s="26">
        <v>45050.0</v>
      </c>
      <c r="B138" s="19"/>
      <c r="C138" s="27"/>
      <c r="D138" s="19"/>
      <c r="E138" s="27"/>
      <c r="F138" s="27"/>
      <c r="G138" s="27">
        <v>-29.17</v>
      </c>
      <c r="H138" s="19"/>
      <c r="I138" s="27">
        <v>-18.0</v>
      </c>
      <c r="J138" s="19"/>
      <c r="K138" s="19"/>
      <c r="L138" s="19"/>
      <c r="M138" s="30"/>
      <c r="N138" s="3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9.5" customHeight="1">
      <c r="A139" s="26">
        <v>45051.0</v>
      </c>
      <c r="B139" s="19"/>
      <c r="C139" s="27"/>
      <c r="D139" s="19"/>
      <c r="E139" s="19"/>
      <c r="F139" s="19"/>
      <c r="G139" s="27"/>
      <c r="H139" s="19"/>
      <c r="I139" s="19"/>
      <c r="J139" s="19"/>
      <c r="K139" s="19"/>
      <c r="L139" s="27">
        <v>-171.9</v>
      </c>
      <c r="M139" s="30"/>
      <c r="N139" s="3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9.5" customHeight="1">
      <c r="A140" s="26">
        <v>45052.0</v>
      </c>
      <c r="B140" s="19"/>
      <c r="C140" s="27"/>
      <c r="D140" s="19"/>
      <c r="E140" s="19"/>
      <c r="F140" s="27"/>
      <c r="G140" s="27">
        <v>-3.07</v>
      </c>
      <c r="H140" s="27">
        <f>-sum(23.98,7.2)</f>
        <v>-31.18</v>
      </c>
      <c r="I140" s="19"/>
      <c r="J140" s="19"/>
      <c r="K140" s="19"/>
      <c r="L140" s="27"/>
      <c r="M140" s="30"/>
      <c r="N140" s="3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9.5" customHeight="1">
      <c r="A141" s="26">
        <v>45053.0</v>
      </c>
      <c r="B141" s="19"/>
      <c r="C141" s="27"/>
      <c r="D141" s="19"/>
      <c r="E141" s="19"/>
      <c r="F141" s="27"/>
      <c r="G141" s="19"/>
      <c r="H141" s="27"/>
      <c r="I141" s="19">
        <f>-sum(9,10,18,18)</f>
        <v>-55</v>
      </c>
      <c r="J141" s="19"/>
      <c r="K141" s="27">
        <v>-500.0</v>
      </c>
      <c r="L141" s="19"/>
      <c r="M141" s="30"/>
      <c r="N141" s="3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9.5" customHeight="1">
      <c r="A142" s="26">
        <v>45054.0</v>
      </c>
      <c r="B142" s="19"/>
      <c r="C142" s="27"/>
      <c r="D142" s="19"/>
      <c r="E142" s="19"/>
      <c r="F142" s="27">
        <v>-6.0</v>
      </c>
      <c r="G142" s="27">
        <f>-23.3*2</f>
        <v>-46.6</v>
      </c>
      <c r="H142" s="19"/>
      <c r="I142" s="27"/>
      <c r="J142" s="19"/>
      <c r="K142" s="19">
        <f>-sum(1385,705)</f>
        <v>-2090</v>
      </c>
      <c r="L142" s="19"/>
      <c r="M142" s="30"/>
      <c r="N142" s="3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9.5" customHeight="1">
      <c r="A143" s="26">
        <v>45055.0</v>
      </c>
      <c r="B143" s="19"/>
      <c r="C143" s="27"/>
      <c r="D143" s="19"/>
      <c r="E143" s="27"/>
      <c r="F143" s="27"/>
      <c r="G143" s="19"/>
      <c r="H143" s="19"/>
      <c r="I143" s="19"/>
      <c r="J143" s="19"/>
      <c r="K143" s="19"/>
      <c r="L143" s="27"/>
      <c r="M143" s="30"/>
      <c r="N143" s="3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9.5" customHeight="1">
      <c r="A144" s="26">
        <v>45056.0</v>
      </c>
      <c r="B144" s="19"/>
      <c r="C144" s="27"/>
      <c r="D144" s="19"/>
      <c r="E144" s="27"/>
      <c r="F144" s="27"/>
      <c r="G144" s="27">
        <v>-180.0</v>
      </c>
      <c r="H144" s="27">
        <f>sum(78.96,59.74,2.97)</f>
        <v>141.67</v>
      </c>
      <c r="I144" s="27">
        <f>-sum(16.9,6.7,16,4.9)</f>
        <v>-44.5</v>
      </c>
      <c r="J144" s="19"/>
      <c r="K144" s="27"/>
      <c r="L144" s="27"/>
      <c r="M144" s="30"/>
      <c r="N144" s="3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9.5" customHeight="1">
      <c r="A145" s="26">
        <v>45057.0</v>
      </c>
      <c r="B145" s="19"/>
      <c r="C145" s="27"/>
      <c r="D145" s="19"/>
      <c r="E145" s="27"/>
      <c r="F145" s="27"/>
      <c r="G145" s="19"/>
      <c r="H145" s="27">
        <v>-146.8</v>
      </c>
      <c r="I145" s="19"/>
      <c r="J145" s="19"/>
      <c r="K145" s="19"/>
      <c r="L145" s="27"/>
      <c r="M145" s="30"/>
      <c r="N145" s="3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9.5" customHeight="1">
      <c r="A146" s="26">
        <v>45058.0</v>
      </c>
      <c r="B146" s="19"/>
      <c r="C146" s="27"/>
      <c r="D146" s="19"/>
      <c r="E146" s="19"/>
      <c r="F146" s="27"/>
      <c r="G146" s="19"/>
      <c r="H146" s="19"/>
      <c r="I146" s="19"/>
      <c r="J146" s="19"/>
      <c r="K146" s="19"/>
      <c r="L146" s="27">
        <v>-171.9</v>
      </c>
      <c r="M146" s="30"/>
      <c r="N146" s="3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9.5" customHeight="1">
      <c r="A147" s="26">
        <v>45059.0</v>
      </c>
      <c r="B147" s="19"/>
      <c r="C147" s="27"/>
      <c r="D147" s="19"/>
      <c r="E147" s="27"/>
      <c r="F147" s="27"/>
      <c r="G147" s="27">
        <v>-4.49</v>
      </c>
      <c r="H147" s="19"/>
      <c r="I147" s="27"/>
      <c r="J147" s="19"/>
      <c r="K147" s="19"/>
      <c r="L147" s="27"/>
      <c r="M147" s="30"/>
      <c r="N147" s="3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9.5" customHeight="1">
      <c r="A148" s="26">
        <v>45060.0</v>
      </c>
      <c r="B148" s="19"/>
      <c r="C148" s="27"/>
      <c r="D148" s="19"/>
      <c r="E148" s="27"/>
      <c r="F148" s="27"/>
      <c r="G148" s="27">
        <v>-57.5</v>
      </c>
      <c r="H148" s="19">
        <f>-sum(29.47,10.8)</f>
        <v>-40.27</v>
      </c>
      <c r="I148" s="19"/>
      <c r="J148" s="19"/>
      <c r="K148" s="19"/>
      <c r="L148" s="19"/>
      <c r="M148" s="30"/>
      <c r="N148" s="3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9.5" customHeight="1">
      <c r="A149" s="26">
        <v>45061.0</v>
      </c>
      <c r="B149" s="19"/>
      <c r="C149" s="27"/>
      <c r="D149" s="19"/>
      <c r="E149" s="27"/>
      <c r="F149" s="27">
        <f>-sum(16,20.14)</f>
        <v>-36.14</v>
      </c>
      <c r="G149" s="19">
        <f>-sum(23.3*2,33.08,33.5)</f>
        <v>-113.18</v>
      </c>
      <c r="H149" s="27">
        <v>-58.74</v>
      </c>
      <c r="I149" s="19"/>
      <c r="J149" s="19"/>
      <c r="K149" s="19"/>
      <c r="L149" s="19"/>
      <c r="M149" s="30"/>
      <c r="N149" s="3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9.5" customHeight="1">
      <c r="A150" s="26">
        <v>45062.0</v>
      </c>
      <c r="B150" s="19"/>
      <c r="C150" s="27"/>
      <c r="D150" s="19"/>
      <c r="E150" s="19"/>
      <c r="F150" s="27">
        <v>-207.98</v>
      </c>
      <c r="G150" s="27">
        <v>-56.7</v>
      </c>
      <c r="H150" s="19"/>
      <c r="I150" s="19"/>
      <c r="J150" s="19"/>
      <c r="K150" s="19"/>
      <c r="L150" s="27"/>
      <c r="M150" s="30"/>
      <c r="N150" s="3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9.5" customHeight="1">
      <c r="A151" s="26">
        <v>45063.0</v>
      </c>
      <c r="B151" s="19"/>
      <c r="C151" s="27"/>
      <c r="D151" s="19"/>
      <c r="E151" s="19"/>
      <c r="F151" s="27">
        <v>-0.99</v>
      </c>
      <c r="G151" s="27"/>
      <c r="H151" s="19"/>
      <c r="I151" s="19"/>
      <c r="J151" s="19"/>
      <c r="K151" s="19"/>
      <c r="L151" s="19"/>
      <c r="M151" s="30"/>
      <c r="N151" s="3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9.5" customHeight="1">
      <c r="A152" s="26">
        <v>45064.0</v>
      </c>
      <c r="B152" s="19"/>
      <c r="C152" s="27"/>
      <c r="D152" s="19"/>
      <c r="E152" s="27"/>
      <c r="F152" s="27"/>
      <c r="G152" s="19"/>
      <c r="H152" s="19">
        <f>-sum(25.05,66.98)</f>
        <v>-92.03</v>
      </c>
      <c r="I152" s="27">
        <v>-28.4</v>
      </c>
      <c r="J152" s="19"/>
      <c r="K152" s="27"/>
      <c r="L152" s="27"/>
      <c r="M152" s="30"/>
      <c r="N152" s="3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9.5" customHeight="1">
      <c r="A153" s="26">
        <v>45065.0</v>
      </c>
      <c r="B153" s="19"/>
      <c r="C153" s="27"/>
      <c r="D153" s="19"/>
      <c r="E153" s="27">
        <v>-45.22</v>
      </c>
      <c r="F153" s="27">
        <f>-sum(37,25)</f>
        <v>-62</v>
      </c>
      <c r="G153" s="19"/>
      <c r="H153" s="27">
        <v>-5.97</v>
      </c>
      <c r="I153" s="27">
        <v>-23.0</v>
      </c>
      <c r="J153" s="19"/>
      <c r="K153" s="19"/>
      <c r="L153" s="27">
        <v>-171.9</v>
      </c>
      <c r="M153" s="30"/>
      <c r="N153" s="3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9.5" customHeight="1">
      <c r="A154" s="26">
        <v>45066.0</v>
      </c>
      <c r="B154" s="19"/>
      <c r="C154" s="27"/>
      <c r="D154" s="19"/>
      <c r="E154" s="27"/>
      <c r="F154" s="27">
        <v>-126.65</v>
      </c>
      <c r="G154" s="19"/>
      <c r="H154" s="27">
        <f>-sum(22.45,42.37,50.63,13.16)</f>
        <v>-128.61</v>
      </c>
      <c r="I154" s="27">
        <v>-71.85</v>
      </c>
      <c r="J154" s="19"/>
      <c r="K154" s="19"/>
      <c r="L154" s="27"/>
      <c r="M154" s="30"/>
      <c r="N154" s="3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9.5" customHeight="1">
      <c r="A155" s="26">
        <v>45067.0</v>
      </c>
      <c r="B155" s="19"/>
      <c r="C155" s="27"/>
      <c r="D155" s="19"/>
      <c r="E155" s="19"/>
      <c r="F155" s="27"/>
      <c r="G155" s="19">
        <f>-23.3*2</f>
        <v>-46.6</v>
      </c>
      <c r="H155" s="27">
        <v>-111.16</v>
      </c>
      <c r="I155" s="27">
        <f>-sum(16.26,86.36)</f>
        <v>-102.62</v>
      </c>
      <c r="J155" s="19"/>
      <c r="K155" s="19"/>
      <c r="L155" s="27"/>
      <c r="M155" s="30"/>
      <c r="N155" s="3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9.5" customHeight="1">
      <c r="A156" s="26">
        <v>45068.0</v>
      </c>
      <c r="B156" s="19"/>
      <c r="C156" s="27"/>
      <c r="D156" s="19"/>
      <c r="E156" s="27">
        <v>-158.93</v>
      </c>
      <c r="F156" s="27">
        <v>200.0</v>
      </c>
      <c r="G156" s="27">
        <v>-40.03</v>
      </c>
      <c r="H156" s="19"/>
      <c r="I156" s="19"/>
      <c r="J156" s="19"/>
      <c r="K156" s="27"/>
      <c r="L156" s="19"/>
      <c r="M156" s="30"/>
      <c r="N156" s="3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9.5" customHeight="1">
      <c r="A157" s="26">
        <v>45069.0</v>
      </c>
      <c r="B157" s="19"/>
      <c r="C157" s="27"/>
      <c r="D157" s="19"/>
      <c r="E157" s="19"/>
      <c r="F157" s="27"/>
      <c r="G157" s="27"/>
      <c r="H157" s="19"/>
      <c r="I157" s="19"/>
      <c r="J157" s="19"/>
      <c r="K157" s="19"/>
      <c r="L157" s="27"/>
      <c r="M157" s="30"/>
      <c r="N157" s="3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9.5" customHeight="1">
      <c r="A158" s="26">
        <v>45070.0</v>
      </c>
      <c r="B158" s="19"/>
      <c r="C158" s="27"/>
      <c r="D158" s="19"/>
      <c r="E158" s="27"/>
      <c r="F158" s="27">
        <v>-15.0</v>
      </c>
      <c r="G158" s="27"/>
      <c r="H158" s="27">
        <f>-sum(15.05,9.84,66.99)</f>
        <v>-91.88</v>
      </c>
      <c r="I158" s="27"/>
      <c r="J158" s="19"/>
      <c r="K158" s="27"/>
      <c r="L158" s="19"/>
      <c r="M158" s="30"/>
      <c r="N158" s="3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9.5" customHeight="1">
      <c r="A159" s="26">
        <v>45071.0</v>
      </c>
      <c r="B159" s="19"/>
      <c r="C159" s="27"/>
      <c r="D159" s="19"/>
      <c r="E159" s="27"/>
      <c r="F159" s="19"/>
      <c r="G159" s="27">
        <v>-64.99</v>
      </c>
      <c r="H159" s="19">
        <f>-sum(71.7,14.8)</f>
        <v>-86.5</v>
      </c>
      <c r="I159" s="19"/>
      <c r="J159" s="19"/>
      <c r="K159" s="19"/>
      <c r="L159" s="19"/>
      <c r="M159" s="30"/>
      <c r="N159" s="3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9.5" customHeight="1">
      <c r="A160" s="26">
        <v>45072.0</v>
      </c>
      <c r="B160" s="19"/>
      <c r="C160" s="27"/>
      <c r="D160" s="19"/>
      <c r="E160" s="27"/>
      <c r="F160" s="27">
        <f>-sum(15,5)</f>
        <v>-20</v>
      </c>
      <c r="G160" s="27"/>
      <c r="H160" s="19">
        <f>-sum(45.55,14.38,8.9)</f>
        <v>-68.83</v>
      </c>
      <c r="I160" s="27">
        <v>-32.01</v>
      </c>
      <c r="J160" s="27">
        <v>-30.0</v>
      </c>
      <c r="K160" s="19"/>
      <c r="L160" s="27">
        <v>-171.9</v>
      </c>
      <c r="M160" s="30"/>
      <c r="N160" s="3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9.5" customHeight="1">
      <c r="A161" s="26">
        <v>45073.0</v>
      </c>
      <c r="B161" s="19"/>
      <c r="C161" s="27"/>
      <c r="D161" s="19"/>
      <c r="E161" s="19"/>
      <c r="F161" s="27">
        <v>50.18</v>
      </c>
      <c r="G161" s="19"/>
      <c r="H161" s="19">
        <f>-sum(185.88,50.8,16.8,91.1)</f>
        <v>-344.58</v>
      </c>
      <c r="I161" s="27">
        <f>-sum(-36)</f>
        <v>36</v>
      </c>
      <c r="J161" s="19"/>
      <c r="K161" s="19"/>
      <c r="L161" s="27"/>
      <c r="M161" s="30"/>
      <c r="N161" s="3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9.5" customHeight="1">
      <c r="A162" s="26">
        <v>45074.0</v>
      </c>
      <c r="B162" s="19"/>
      <c r="C162" s="27"/>
      <c r="D162" s="19"/>
      <c r="E162" s="19"/>
      <c r="F162" s="19"/>
      <c r="G162" s="19"/>
      <c r="H162" s="27">
        <v>-1.6</v>
      </c>
      <c r="I162" s="19"/>
      <c r="J162" s="19"/>
      <c r="K162" s="27"/>
      <c r="L162" s="19"/>
      <c r="M162" s="30"/>
      <c r="N162" s="3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9.5" customHeight="1">
      <c r="A163" s="26">
        <v>45075.0</v>
      </c>
      <c r="B163" s="19"/>
      <c r="C163" s="27"/>
      <c r="D163" s="19"/>
      <c r="E163" s="19"/>
      <c r="F163" s="27"/>
      <c r="G163" s="27">
        <f>-sum(-33.65,33.5,23.3*2)</f>
        <v>-46.45</v>
      </c>
      <c r="H163" s="19"/>
      <c r="I163" s="27"/>
      <c r="J163" s="19"/>
      <c r="K163" s="27"/>
      <c r="L163" s="19"/>
      <c r="M163" s="30"/>
      <c r="N163" s="3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9.5" customHeight="1">
      <c r="A164" s="26">
        <v>45076.0</v>
      </c>
      <c r="B164" s="19"/>
      <c r="C164" s="27"/>
      <c r="D164" s="19"/>
      <c r="E164" s="27"/>
      <c r="F164" s="27"/>
      <c r="G164" s="27"/>
      <c r="H164" s="27"/>
      <c r="I164" s="27">
        <v>-33.29</v>
      </c>
      <c r="J164" s="19"/>
      <c r="K164" s="19"/>
      <c r="L164" s="19"/>
      <c r="M164" s="30"/>
      <c r="N164" s="3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9.5" customHeight="1">
      <c r="A165" s="26">
        <v>45077.0</v>
      </c>
      <c r="B165" s="19"/>
      <c r="C165" s="27"/>
      <c r="D165" s="19"/>
      <c r="E165" s="19"/>
      <c r="F165" s="27"/>
      <c r="G165" s="27">
        <v>-417.0</v>
      </c>
      <c r="H165" s="19">
        <f>-sum(28.7,37.59)</f>
        <v>-66.29</v>
      </c>
      <c r="I165" s="27">
        <v>-41.3</v>
      </c>
      <c r="J165" s="19"/>
      <c r="K165" s="27"/>
      <c r="L165" s="19"/>
      <c r="M165" s="30"/>
      <c r="N165" s="3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9.5" customHeight="1">
      <c r="A166" s="26">
        <v>45078.0</v>
      </c>
      <c r="B166" s="19"/>
      <c r="C166" s="27"/>
      <c r="D166" s="19"/>
      <c r="E166" s="27"/>
      <c r="F166" s="27"/>
      <c r="G166" s="27"/>
      <c r="H166" s="19">
        <f>-sum(48.95,36.4)</f>
        <v>-85.35</v>
      </c>
      <c r="I166" s="19"/>
      <c r="J166" s="19"/>
      <c r="K166" s="19"/>
      <c r="L166" s="19"/>
      <c r="M166" s="30"/>
      <c r="N166" s="3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9.5" customHeight="1">
      <c r="A167" s="26">
        <v>45079.0</v>
      </c>
      <c r="B167" s="19"/>
      <c r="C167" s="27"/>
      <c r="D167" s="19"/>
      <c r="E167" s="27">
        <v>-1.5</v>
      </c>
      <c r="F167" s="27"/>
      <c r="G167" s="19"/>
      <c r="H167" s="27"/>
      <c r="I167" s="27">
        <f>-sum(21.7,5)</f>
        <v>-26.7</v>
      </c>
      <c r="J167" s="19"/>
      <c r="K167" s="19"/>
      <c r="L167" s="27">
        <v>-171.9</v>
      </c>
      <c r="M167" s="30"/>
      <c r="N167" s="3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9.5" customHeight="1">
      <c r="A168" s="26">
        <v>45080.0</v>
      </c>
      <c r="B168" s="19"/>
      <c r="C168" s="27"/>
      <c r="D168" s="19"/>
      <c r="E168" s="19"/>
      <c r="F168" s="27"/>
      <c r="G168" s="27"/>
      <c r="H168" s="27">
        <f>-sum(47.3,5.7,23.98)</f>
        <v>-76.98</v>
      </c>
      <c r="I168" s="19">
        <f>-sum(21.5)</f>
        <v>-21.5</v>
      </c>
      <c r="J168" s="19"/>
      <c r="K168" s="19"/>
      <c r="L168" s="27"/>
      <c r="M168" s="30"/>
      <c r="N168" s="3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9.5" customHeight="1">
      <c r="A169" s="26">
        <v>45081.0</v>
      </c>
      <c r="B169" s="19"/>
      <c r="C169" s="27"/>
      <c r="D169" s="19"/>
      <c r="E169" s="19"/>
      <c r="F169" s="27">
        <v>-5.0</v>
      </c>
      <c r="G169" s="19"/>
      <c r="H169" s="27">
        <f>-sum(4.5,38.3,21.47)</f>
        <v>-64.27</v>
      </c>
      <c r="I169" s="27"/>
      <c r="J169" s="19"/>
      <c r="K169" s="19"/>
      <c r="L169" s="27"/>
      <c r="M169" s="30"/>
      <c r="N169" s="3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9.5" customHeight="1">
      <c r="A170" s="26">
        <v>45082.0</v>
      </c>
      <c r="B170" s="19"/>
      <c r="C170" s="27"/>
      <c r="D170" s="19"/>
      <c r="E170" s="19"/>
      <c r="F170" s="27">
        <f>-sum(0.15,85)</f>
        <v>-85.15</v>
      </c>
      <c r="G170" s="19">
        <f>-sum(23.3,23.3,29.17)</f>
        <v>-75.77</v>
      </c>
      <c r="H170" s="19"/>
      <c r="I170" s="27">
        <v>-21.5</v>
      </c>
      <c r="J170" s="19"/>
      <c r="K170" s="19"/>
      <c r="L170" s="27"/>
      <c r="M170" s="30"/>
      <c r="N170" s="3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9.5" customHeight="1">
      <c r="A171" s="26">
        <v>45083.0</v>
      </c>
      <c r="B171" s="19"/>
      <c r="C171" s="27"/>
      <c r="D171" s="19"/>
      <c r="E171" s="27"/>
      <c r="F171" s="27">
        <v>-30.0</v>
      </c>
      <c r="G171" s="27">
        <v>-131.46</v>
      </c>
      <c r="H171" s="27">
        <v>-21.99</v>
      </c>
      <c r="I171" s="19">
        <f>-sum(15.7,11.9)</f>
        <v>-27.6</v>
      </c>
      <c r="J171" s="19"/>
      <c r="K171" s="19">
        <f>-sum(705,1385)</f>
        <v>-2090</v>
      </c>
      <c r="L171" s="27">
        <v>-204.29</v>
      </c>
      <c r="M171" s="30"/>
      <c r="N171" s="3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9.5" customHeight="1">
      <c r="A172" s="26">
        <v>45084.0</v>
      </c>
      <c r="B172" s="19"/>
      <c r="C172" s="27"/>
      <c r="D172" s="19"/>
      <c r="E172" s="19"/>
      <c r="F172" s="27"/>
      <c r="G172" s="27"/>
      <c r="H172" s="19"/>
      <c r="I172" s="19"/>
      <c r="J172" s="27"/>
      <c r="K172" s="19"/>
      <c r="L172" s="27"/>
      <c r="M172" s="30"/>
      <c r="N172" s="3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9.5" customHeight="1">
      <c r="A173" s="26">
        <v>45085.0</v>
      </c>
      <c r="B173" s="19"/>
      <c r="C173" s="27"/>
      <c r="D173" s="19"/>
      <c r="E173" s="19"/>
      <c r="F173" s="27">
        <v>-6.15</v>
      </c>
      <c r="G173" s="27"/>
      <c r="H173" s="19">
        <f>-sum(36.53,24.48)</f>
        <v>-61.01</v>
      </c>
      <c r="I173" s="19"/>
      <c r="J173" s="19"/>
      <c r="K173" s="19"/>
      <c r="L173" s="27"/>
      <c r="M173" s="30"/>
      <c r="N173" s="3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9.5" customHeight="1">
      <c r="A174" s="26">
        <v>45086.0</v>
      </c>
      <c r="B174" s="19"/>
      <c r="C174" s="27"/>
      <c r="D174" s="19"/>
      <c r="E174" s="19"/>
      <c r="F174" s="27"/>
      <c r="G174" s="19"/>
      <c r="H174" s="27"/>
      <c r="I174" s="27">
        <f>-sum(22.05,36.54)</f>
        <v>-58.59</v>
      </c>
      <c r="J174" s="27"/>
      <c r="K174" s="19"/>
      <c r="L174" s="27">
        <v>-171.9</v>
      </c>
      <c r="M174" s="30"/>
      <c r="N174" s="3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9.5" customHeight="1">
      <c r="A175" s="26">
        <v>45087.0</v>
      </c>
      <c r="B175" s="19"/>
      <c r="C175" s="27"/>
      <c r="D175" s="19"/>
      <c r="E175" s="27"/>
      <c r="F175" s="27"/>
      <c r="G175" s="19"/>
      <c r="H175" s="27">
        <v>-272.0</v>
      </c>
      <c r="I175" s="27">
        <f>-sum(20.5,3)</f>
        <v>-23.5</v>
      </c>
      <c r="J175" s="19"/>
      <c r="K175" s="19"/>
      <c r="L175" s="27"/>
      <c r="M175" s="30"/>
      <c r="N175" s="3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9.5" customHeight="1">
      <c r="A176" s="26">
        <v>45088.0</v>
      </c>
      <c r="B176" s="19"/>
      <c r="C176" s="27"/>
      <c r="D176" s="19"/>
      <c r="E176" s="19"/>
      <c r="F176" s="27">
        <v>-96.0</v>
      </c>
      <c r="G176" s="19"/>
      <c r="H176" s="27">
        <f>-sum(53.58,79.2,36.4,0.2,4.5)</f>
        <v>-173.88</v>
      </c>
      <c r="I176" s="19"/>
      <c r="J176" s="27"/>
      <c r="K176" s="19"/>
      <c r="L176" s="19"/>
      <c r="M176" s="30"/>
      <c r="N176" s="3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9.5" customHeight="1">
      <c r="A177" s="26">
        <v>45089.0</v>
      </c>
      <c r="B177" s="19"/>
      <c r="C177" s="27"/>
      <c r="D177" s="19"/>
      <c r="E177" s="27"/>
      <c r="F177" s="27"/>
      <c r="G177" s="27">
        <f>-sum(33.84,23.3*2)</f>
        <v>-80.44</v>
      </c>
      <c r="H177" s="19">
        <f>-sum(16.5,32.65,6.7,27.45)</f>
        <v>-83.3</v>
      </c>
      <c r="I177" s="27">
        <v>-42.73</v>
      </c>
      <c r="J177" s="19"/>
      <c r="K177" s="19"/>
      <c r="L177" s="19"/>
      <c r="M177" s="30"/>
      <c r="N177" s="3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9.5" customHeight="1">
      <c r="A178" s="26">
        <v>45090.0</v>
      </c>
      <c r="B178" s="19"/>
      <c r="C178" s="27"/>
      <c r="D178" s="19"/>
      <c r="E178" s="19"/>
      <c r="F178" s="27">
        <f>-sum(10.77,6)</f>
        <v>-16.77</v>
      </c>
      <c r="G178" s="27">
        <v>-4.49</v>
      </c>
      <c r="H178" s="27">
        <f>-sum(66.09,8.2,15.23)</f>
        <v>-89.52</v>
      </c>
      <c r="I178" s="27">
        <v>-22.5</v>
      </c>
      <c r="J178" s="19"/>
      <c r="K178" s="19"/>
      <c r="L178" s="19"/>
      <c r="M178" s="30"/>
      <c r="N178" s="3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9.5" customHeight="1">
      <c r="A179" s="26">
        <v>45091.0</v>
      </c>
      <c r="B179" s="19"/>
      <c r="C179" s="27"/>
      <c r="D179" s="19"/>
      <c r="E179" s="19"/>
      <c r="F179" s="27"/>
      <c r="G179" s="27"/>
      <c r="H179" s="27">
        <v>-34.99</v>
      </c>
      <c r="I179" s="19">
        <f>-sum(4.5,10.2,4.2)</f>
        <v>-18.9</v>
      </c>
      <c r="J179" s="19"/>
      <c r="K179" s="19"/>
      <c r="L179" s="19"/>
      <c r="M179" s="30"/>
      <c r="N179" s="3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9.5" customHeight="1">
      <c r="A180" s="26">
        <v>45092.0</v>
      </c>
      <c r="B180" s="19"/>
      <c r="C180" s="27"/>
      <c r="D180" s="19"/>
      <c r="E180" s="19"/>
      <c r="F180" s="27">
        <v>-23.99</v>
      </c>
      <c r="G180" s="19"/>
      <c r="H180" s="27">
        <v>-15.8</v>
      </c>
      <c r="I180" s="27">
        <f>-sum(7.5,5)</f>
        <v>-12.5</v>
      </c>
      <c r="J180" s="19"/>
      <c r="K180" s="19"/>
      <c r="L180" s="19"/>
      <c r="M180" s="30"/>
      <c r="N180" s="3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9.5" customHeight="1">
      <c r="A181" s="26">
        <v>45093.0</v>
      </c>
      <c r="B181" s="19"/>
      <c r="C181" s="27"/>
      <c r="D181" s="19"/>
      <c r="E181" s="27">
        <v>-20.0</v>
      </c>
      <c r="F181" s="27">
        <v>-83.91</v>
      </c>
      <c r="G181" s="27">
        <v>-600.0</v>
      </c>
      <c r="H181" s="19"/>
      <c r="I181" s="19">
        <f>-sum(28.82,34.26)</f>
        <v>-63.08</v>
      </c>
      <c r="J181" s="27"/>
      <c r="K181" s="27">
        <v>-500.0</v>
      </c>
      <c r="L181" s="27">
        <v>-171.9</v>
      </c>
      <c r="M181" s="30"/>
      <c r="N181" s="3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9.5" customHeight="1">
      <c r="A182" s="26">
        <v>45094.0</v>
      </c>
      <c r="B182" s="19"/>
      <c r="C182" s="27"/>
      <c r="D182" s="19"/>
      <c r="E182" s="19"/>
      <c r="F182" s="27">
        <v>-37.35</v>
      </c>
      <c r="G182" s="27">
        <v>-32.1</v>
      </c>
      <c r="H182" s="27">
        <v>-16.2</v>
      </c>
      <c r="I182" s="27">
        <v>-34.26</v>
      </c>
      <c r="J182" s="19"/>
      <c r="K182" s="19"/>
      <c r="L182" s="27"/>
      <c r="M182" s="30"/>
      <c r="N182" s="3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9.5" customHeight="1">
      <c r="A183" s="26">
        <v>45095.0</v>
      </c>
      <c r="B183" s="19"/>
      <c r="C183" s="27"/>
      <c r="D183" s="19"/>
      <c r="E183" s="27"/>
      <c r="F183" s="27">
        <v>-6.0</v>
      </c>
      <c r="G183" s="19"/>
      <c r="H183" s="19">
        <f>-sum(9.6,8.55)</f>
        <v>-18.15</v>
      </c>
      <c r="I183" s="27">
        <v>-5.9</v>
      </c>
      <c r="J183" s="19"/>
      <c r="K183" s="19"/>
      <c r="L183" s="27"/>
      <c r="M183" s="30"/>
      <c r="N183" s="3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9.5" customHeight="1">
      <c r="A184" s="26">
        <v>45096.0</v>
      </c>
      <c r="B184" s="19"/>
      <c r="C184" s="27"/>
      <c r="D184" s="19"/>
      <c r="E184" s="27"/>
      <c r="F184" s="27"/>
      <c r="G184" s="19">
        <f>-23.3*2</f>
        <v>-46.6</v>
      </c>
      <c r="H184" s="19"/>
      <c r="I184" s="19"/>
      <c r="J184" s="19"/>
      <c r="K184" s="19"/>
      <c r="L184" s="19"/>
      <c r="M184" s="30"/>
      <c r="N184" s="3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9.5" customHeight="1">
      <c r="A185" s="26">
        <v>45097.0</v>
      </c>
      <c r="B185" s="19"/>
      <c r="C185" s="27"/>
      <c r="D185" s="19"/>
      <c r="E185" s="27"/>
      <c r="F185" s="27"/>
      <c r="G185" s="27">
        <v>-0.96</v>
      </c>
      <c r="H185" s="27">
        <v>-5.08</v>
      </c>
      <c r="I185" s="27">
        <v>-31.5</v>
      </c>
      <c r="J185" s="19"/>
      <c r="K185" s="19"/>
      <c r="L185" s="19"/>
      <c r="M185" s="30"/>
      <c r="N185" s="3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9.5" customHeight="1">
      <c r="A186" s="26">
        <v>45098.0</v>
      </c>
      <c r="B186" s="19"/>
      <c r="C186" s="27"/>
      <c r="D186" s="19"/>
      <c r="E186" s="27"/>
      <c r="F186" s="27"/>
      <c r="G186" s="27">
        <v>-60.61</v>
      </c>
      <c r="H186" s="27">
        <f>-sum(32.6,28,21.17,23.97,29,41.24)</f>
        <v>-175.98</v>
      </c>
      <c r="I186" s="27">
        <f>-sum(17.26,17.26,44.7)</f>
        <v>-79.22</v>
      </c>
      <c r="J186" s="19"/>
      <c r="K186" s="19"/>
      <c r="L186" s="19"/>
      <c r="M186" s="30"/>
      <c r="N186" s="3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9.5" customHeight="1">
      <c r="A187" s="26">
        <v>45099.0</v>
      </c>
      <c r="B187" s="19"/>
      <c r="C187" s="27"/>
      <c r="D187" s="19"/>
      <c r="E187" s="19"/>
      <c r="F187" s="27"/>
      <c r="G187" s="27">
        <v>-40.03</v>
      </c>
      <c r="H187" s="27">
        <v>-12.87</v>
      </c>
      <c r="I187" s="19"/>
      <c r="J187" s="19"/>
      <c r="K187" s="19"/>
      <c r="L187" s="19"/>
      <c r="M187" s="30"/>
      <c r="N187" s="3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9.5" customHeight="1">
      <c r="A188" s="26">
        <v>45100.0</v>
      </c>
      <c r="B188" s="19"/>
      <c r="C188" s="27"/>
      <c r="D188" s="19"/>
      <c r="E188" s="19"/>
      <c r="F188" s="27">
        <f>-sum(6.9,6)</f>
        <v>-12.9</v>
      </c>
      <c r="G188" s="19"/>
      <c r="H188" s="27">
        <v>-35.2</v>
      </c>
      <c r="I188" s="19"/>
      <c r="J188" s="19"/>
      <c r="K188" s="27"/>
      <c r="L188" s="27">
        <v>-229.2</v>
      </c>
      <c r="M188" s="30"/>
      <c r="N188" s="3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9.5" customHeight="1">
      <c r="A189" s="26">
        <v>45101.0</v>
      </c>
      <c r="B189" s="19"/>
      <c r="C189" s="27"/>
      <c r="D189" s="19"/>
      <c r="E189" s="27"/>
      <c r="F189" s="27"/>
      <c r="G189" s="27">
        <v>-25.0</v>
      </c>
      <c r="H189" s="27">
        <v>-86.42</v>
      </c>
      <c r="I189" s="27">
        <v>-8.12</v>
      </c>
      <c r="J189" s="19"/>
      <c r="K189" s="27"/>
      <c r="L189" s="27"/>
      <c r="M189" s="30"/>
      <c r="N189" s="3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9.5" customHeight="1">
      <c r="A190" s="26">
        <v>45102.0</v>
      </c>
      <c r="B190" s="19"/>
      <c r="C190" s="27"/>
      <c r="D190" s="19"/>
      <c r="E190" s="27"/>
      <c r="F190" s="27">
        <v>-124.94</v>
      </c>
      <c r="G190" s="27">
        <v>-64.99</v>
      </c>
      <c r="H190" s="27"/>
      <c r="I190" s="19">
        <f>-sum(22.37,11.19,8.6,38.7)</f>
        <v>-80.86</v>
      </c>
      <c r="J190" s="19"/>
      <c r="K190" s="19"/>
      <c r="L190" s="19"/>
      <c r="M190" s="30"/>
      <c r="N190" s="3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9.5" customHeight="1">
      <c r="A191" s="26">
        <v>45103.0</v>
      </c>
      <c r="B191" s="19"/>
      <c r="C191" s="27"/>
      <c r="D191" s="19"/>
      <c r="E191" s="19"/>
      <c r="F191" s="27">
        <v>-6.0</v>
      </c>
      <c r="G191" s="19">
        <f>-sum(33.84,23.3*2)</f>
        <v>-80.44</v>
      </c>
      <c r="H191" s="19">
        <f>-sum(2.5,3.9)</f>
        <v>-6.4</v>
      </c>
      <c r="I191" s="27"/>
      <c r="J191" s="19"/>
      <c r="K191" s="19"/>
      <c r="L191" s="27"/>
      <c r="M191" s="30"/>
      <c r="N191" s="3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9.5" customHeight="1">
      <c r="A192" s="26">
        <v>45104.0</v>
      </c>
      <c r="B192" s="19"/>
      <c r="C192" s="27"/>
      <c r="D192" s="19"/>
      <c r="E192" s="19"/>
      <c r="F192" s="27"/>
      <c r="G192" s="27"/>
      <c r="H192" s="19"/>
      <c r="I192" s="19"/>
      <c r="J192" s="19"/>
      <c r="K192" s="19"/>
      <c r="L192" s="19"/>
      <c r="M192" s="30"/>
      <c r="N192" s="3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9.5" customHeight="1">
      <c r="A193" s="26">
        <v>45105.0</v>
      </c>
      <c r="B193" s="19"/>
      <c r="C193" s="27"/>
      <c r="D193" s="19"/>
      <c r="E193" s="19"/>
      <c r="F193" s="27"/>
      <c r="G193" s="27"/>
      <c r="H193" s="27">
        <v>-15.1</v>
      </c>
      <c r="I193" s="27">
        <v>-35.52</v>
      </c>
      <c r="J193" s="19"/>
      <c r="K193" s="19"/>
      <c r="L193" s="19"/>
      <c r="M193" s="30"/>
      <c r="N193" s="3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9.5" customHeight="1">
      <c r="A194" s="26">
        <v>45106.0</v>
      </c>
      <c r="B194" s="19"/>
      <c r="C194" s="27"/>
      <c r="D194" s="19"/>
      <c r="E194" s="27"/>
      <c r="F194" s="27">
        <v>-1.0</v>
      </c>
      <c r="G194" s="27">
        <v>-496.86</v>
      </c>
      <c r="H194" s="27">
        <v>-20.0</v>
      </c>
      <c r="I194" s="19"/>
      <c r="J194" s="27">
        <v>-430.0</v>
      </c>
      <c r="K194" s="19"/>
      <c r="L194" s="19"/>
      <c r="M194" s="30"/>
      <c r="N194" s="3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9.5" customHeight="1">
      <c r="A195" s="26">
        <v>45107.0</v>
      </c>
      <c r="B195" s="19"/>
      <c r="C195" s="27"/>
      <c r="D195" s="19"/>
      <c r="E195" s="27">
        <v>-20.0</v>
      </c>
      <c r="F195" s="27"/>
      <c r="G195" s="19"/>
      <c r="H195" s="39">
        <f>-sum(1.15,6.9,6)</f>
        <v>-14.05</v>
      </c>
      <c r="I195" s="19">
        <f>-sum(4.57,16,22,18.7)</f>
        <v>-61.27</v>
      </c>
      <c r="J195" s="19"/>
      <c r="K195" s="27"/>
      <c r="L195" s="27">
        <v>-171.9</v>
      </c>
      <c r="M195" s="30"/>
      <c r="N195" s="3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9.5" customHeight="1">
      <c r="A196" s="26">
        <v>45108.0</v>
      </c>
      <c r="B196" s="19"/>
      <c r="C196" s="27"/>
      <c r="D196" s="19"/>
      <c r="E196" s="27"/>
      <c r="F196" s="27"/>
      <c r="G196" s="27">
        <v>-9.99</v>
      </c>
      <c r="H196" s="19">
        <f>-sum(6.76,14,36.67,6.99)</f>
        <v>-64.42</v>
      </c>
      <c r="I196" s="27">
        <v>-9.8</v>
      </c>
      <c r="J196" s="19"/>
      <c r="K196" s="19"/>
      <c r="L196" s="27"/>
      <c r="M196" s="30"/>
      <c r="N196" s="3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26">
        <v>45109.0</v>
      </c>
      <c r="B197" s="19"/>
      <c r="C197" s="27"/>
      <c r="D197" s="19"/>
      <c r="E197" s="27"/>
      <c r="F197" s="27"/>
      <c r="G197" s="27"/>
      <c r="H197" s="27">
        <f>-sum(26.74,3.5)</f>
        <v>-30.24</v>
      </c>
      <c r="I197" s="19"/>
      <c r="J197" s="27"/>
      <c r="K197" s="19"/>
      <c r="L197" s="19"/>
      <c r="M197" s="30"/>
      <c r="N197" s="3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26">
        <v>45110.0</v>
      </c>
      <c r="B198" s="19"/>
      <c r="C198" s="27"/>
      <c r="D198" s="19"/>
      <c r="E198" s="27"/>
      <c r="F198" s="27"/>
      <c r="G198" s="27"/>
      <c r="H198" s="19"/>
      <c r="I198" s="19"/>
      <c r="J198" s="27"/>
      <c r="K198" s="19"/>
      <c r="L198" s="19"/>
      <c r="M198" s="30"/>
      <c r="N198" s="3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26">
        <v>45111.0</v>
      </c>
      <c r="B199" s="19"/>
      <c r="C199" s="27"/>
      <c r="D199" s="19"/>
      <c r="E199" s="27"/>
      <c r="F199" s="27">
        <v>-34.99</v>
      </c>
      <c r="G199" s="19"/>
      <c r="H199" s="27">
        <v>-53.53</v>
      </c>
      <c r="I199" s="27">
        <v>-50.8</v>
      </c>
      <c r="J199" s="19"/>
      <c r="K199" s="19"/>
      <c r="L199" s="19"/>
      <c r="M199" s="30"/>
      <c r="N199" s="3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26">
        <v>45112.0</v>
      </c>
      <c r="B200" s="19"/>
      <c r="C200" s="27"/>
      <c r="D200" s="19"/>
      <c r="E200" s="19"/>
      <c r="F200" s="27">
        <v>-15.0</v>
      </c>
      <c r="G200" s="27"/>
      <c r="H200" s="19"/>
      <c r="I200" s="19"/>
      <c r="J200" s="19"/>
      <c r="K200" s="19"/>
      <c r="L200" s="19"/>
      <c r="M200" s="30"/>
      <c r="N200" s="3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8.0" customHeight="1">
      <c r="A201" s="26">
        <v>45113.0</v>
      </c>
      <c r="B201" s="19"/>
      <c r="C201" s="27"/>
      <c r="D201" s="19"/>
      <c r="E201" s="27"/>
      <c r="F201" s="27"/>
      <c r="G201" s="27">
        <f>-sum(29.17,641.76,1190.44)</f>
        <v>-1861.37</v>
      </c>
      <c r="H201" s="27">
        <v>-60.0</v>
      </c>
      <c r="I201" s="19"/>
      <c r="J201" s="19"/>
      <c r="K201" s="27">
        <f>-sum(500,705,1385)</f>
        <v>-2590</v>
      </c>
      <c r="L201" s="19"/>
      <c r="M201" s="30"/>
      <c r="N201" s="3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26">
        <v>45114.0</v>
      </c>
      <c r="B202" s="19"/>
      <c r="C202" s="27"/>
      <c r="D202" s="19"/>
      <c r="E202" s="19"/>
      <c r="F202" s="27"/>
      <c r="G202" s="27">
        <v>-63.24</v>
      </c>
      <c r="H202" s="19">
        <f>-sum(5,38.43,32.56)</f>
        <v>-75.99</v>
      </c>
      <c r="I202" s="19">
        <f>-sum(36,11)</f>
        <v>-47</v>
      </c>
      <c r="J202" s="27">
        <v>-30.0</v>
      </c>
      <c r="K202" s="19"/>
      <c r="L202" s="27">
        <v>-171.9</v>
      </c>
      <c r="M202" s="30"/>
      <c r="N202" s="3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26">
        <v>45115.0</v>
      </c>
      <c r="B203" s="19"/>
      <c r="C203" s="27"/>
      <c r="D203" s="19"/>
      <c r="E203" s="19"/>
      <c r="F203" s="27">
        <v>-39.0</v>
      </c>
      <c r="G203" s="19"/>
      <c r="H203" s="27"/>
      <c r="I203" s="27"/>
      <c r="J203" s="19"/>
      <c r="K203" s="19"/>
      <c r="L203" s="27"/>
      <c r="M203" s="30"/>
      <c r="N203" s="3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26">
        <v>45116.0</v>
      </c>
      <c r="B204" s="19"/>
      <c r="C204" s="27"/>
      <c r="D204" s="19"/>
      <c r="E204" s="27"/>
      <c r="F204" s="27">
        <v>-3596.5</v>
      </c>
      <c r="G204" s="27">
        <v>-63.24</v>
      </c>
      <c r="H204" s="19"/>
      <c r="I204" s="27"/>
      <c r="J204" s="19"/>
      <c r="K204" s="19"/>
      <c r="L204" s="19"/>
      <c r="M204" s="30"/>
      <c r="N204" s="3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26">
        <v>45117.0</v>
      </c>
      <c r="B205" s="19"/>
      <c r="C205" s="27"/>
      <c r="D205" s="19"/>
      <c r="E205" s="27"/>
      <c r="F205" s="27">
        <v>-6.0</v>
      </c>
      <c r="G205" s="27">
        <v>-33.84</v>
      </c>
      <c r="H205" s="27">
        <v>-17.38</v>
      </c>
      <c r="I205" s="27"/>
      <c r="K205" s="19"/>
      <c r="L205" s="19"/>
      <c r="M205" s="30"/>
      <c r="N205" s="3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26">
        <v>45118.0</v>
      </c>
      <c r="B206" s="19"/>
      <c r="C206" s="27"/>
      <c r="D206" s="19"/>
      <c r="E206" s="27"/>
      <c r="F206" s="27">
        <v>6.66</v>
      </c>
      <c r="G206" s="27"/>
      <c r="H206" s="19"/>
      <c r="I206" s="27">
        <v>-33.8</v>
      </c>
      <c r="J206" s="19"/>
      <c r="K206" s="27"/>
      <c r="L206" s="19"/>
      <c r="M206" s="30"/>
      <c r="N206" s="3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26">
        <v>45119.0</v>
      </c>
      <c r="B207" s="19"/>
      <c r="C207" s="27"/>
      <c r="D207" s="19"/>
      <c r="E207" s="19"/>
      <c r="F207" s="27"/>
      <c r="G207" s="27">
        <v>6.66</v>
      </c>
      <c r="H207" s="19"/>
      <c r="I207" s="27">
        <v>-10.7</v>
      </c>
      <c r="J207" s="27"/>
      <c r="K207" s="27"/>
      <c r="L207" s="19"/>
      <c r="M207" s="30"/>
      <c r="N207" s="3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26">
        <v>45120.0</v>
      </c>
      <c r="B208" s="19"/>
      <c r="C208" s="27"/>
      <c r="D208" s="19"/>
      <c r="E208" s="19"/>
      <c r="F208" s="27">
        <v>-9.49</v>
      </c>
      <c r="G208" s="27">
        <v>-30.0</v>
      </c>
      <c r="H208" s="27">
        <f>-sum(110.98,39.39)</f>
        <v>-150.37</v>
      </c>
      <c r="I208" s="39">
        <f>-sum(37.51,35.52,62.3)</f>
        <v>-135.33</v>
      </c>
      <c r="J208" s="27">
        <v>-184.15</v>
      </c>
      <c r="K208" s="19"/>
      <c r="L208" s="19"/>
      <c r="M208" s="30"/>
      <c r="N208" s="3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26">
        <v>45121.0</v>
      </c>
      <c r="B209" s="19"/>
      <c r="C209" s="27"/>
      <c r="D209" s="19"/>
      <c r="E209" s="27"/>
      <c r="F209" s="27">
        <f>-sum(154,4.49)</f>
        <v>-158.49</v>
      </c>
      <c r="G209" s="27"/>
      <c r="H209" s="19"/>
      <c r="I209" s="19"/>
      <c r="J209" s="27"/>
      <c r="K209" s="19"/>
      <c r="L209" s="27">
        <v>-165.36</v>
      </c>
      <c r="M209" s="30"/>
      <c r="N209" s="3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26">
        <v>45122.0</v>
      </c>
      <c r="B210" s="19"/>
      <c r="C210" s="27"/>
      <c r="D210" s="19"/>
      <c r="E210" s="27"/>
      <c r="F210" s="27">
        <v>-10.3</v>
      </c>
      <c r="G210" s="27"/>
      <c r="H210" s="19">
        <f>-sum(11,14.8,8)</f>
        <v>-33.8</v>
      </c>
      <c r="I210" s="19"/>
      <c r="J210" s="27"/>
      <c r="K210" s="27"/>
      <c r="L210" s="27"/>
      <c r="M210" s="30"/>
      <c r="N210" s="3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26">
        <v>45123.0</v>
      </c>
      <c r="B211" s="19"/>
      <c r="C211" s="27"/>
      <c r="D211" s="19"/>
      <c r="E211" s="27">
        <v>-80.0</v>
      </c>
      <c r="F211" s="27">
        <v>-106.4</v>
      </c>
      <c r="G211" s="27"/>
      <c r="H211" s="27">
        <v>-6.9</v>
      </c>
      <c r="I211" s="27"/>
      <c r="J211" s="27"/>
      <c r="K211" s="19"/>
      <c r="L211" s="19"/>
      <c r="M211" s="30"/>
      <c r="N211" s="3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26">
        <v>45124.0</v>
      </c>
      <c r="B212" s="19"/>
      <c r="C212" s="27"/>
      <c r="D212" s="19"/>
      <c r="E212" s="19"/>
      <c r="F212" s="27"/>
      <c r="G212" s="19"/>
      <c r="H212" s="19"/>
      <c r="I212" s="27"/>
      <c r="J212" s="19"/>
      <c r="K212" s="19"/>
      <c r="L212" s="19"/>
      <c r="M212" s="30"/>
      <c r="N212" s="3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26">
        <v>45125.0</v>
      </c>
      <c r="B213" s="19"/>
      <c r="C213" s="27"/>
      <c r="D213" s="19"/>
      <c r="E213" s="19"/>
      <c r="F213" s="27">
        <v>-1500.0</v>
      </c>
      <c r="G213" s="27">
        <v>-32.17</v>
      </c>
      <c r="H213" s="27">
        <v>-27.7</v>
      </c>
      <c r="I213" s="19">
        <f>-sum(22.15)</f>
        <v>-22.15</v>
      </c>
      <c r="J213" s="19"/>
      <c r="K213" s="19"/>
      <c r="L213" s="19"/>
      <c r="M213" s="30"/>
      <c r="N213" s="3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26">
        <v>45126.0</v>
      </c>
      <c r="B214" s="19"/>
      <c r="C214" s="27"/>
      <c r="D214" s="19"/>
      <c r="E214" s="27"/>
      <c r="F214" s="27"/>
      <c r="G214" s="27"/>
      <c r="H214" s="27">
        <f>-sum(15.18,2.66)</f>
        <v>-17.84</v>
      </c>
      <c r="I214" s="27">
        <v>-42.63</v>
      </c>
      <c r="J214" s="27"/>
      <c r="K214" s="19"/>
      <c r="L214" s="19"/>
      <c r="M214" s="30"/>
      <c r="N214" s="3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26">
        <v>45127.0</v>
      </c>
      <c r="B215" s="19"/>
      <c r="C215" s="27"/>
      <c r="D215" s="19"/>
      <c r="E215" s="19"/>
      <c r="F215" s="27">
        <f>-sum(8.3,15.5)</f>
        <v>-23.8</v>
      </c>
      <c r="G215" s="27">
        <f>-sum(0.97,46.6)</f>
        <v>-47.57</v>
      </c>
      <c r="H215" s="19">
        <f>-sum(7.9,35.1)</f>
        <v>-43</v>
      </c>
      <c r="I215" s="19"/>
      <c r="J215" s="19"/>
      <c r="K215" s="19"/>
      <c r="L215" s="19"/>
      <c r="M215" s="30"/>
      <c r="N215" s="3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26">
        <v>45128.0</v>
      </c>
      <c r="B216" s="19"/>
      <c r="C216" s="27"/>
      <c r="D216" s="19"/>
      <c r="E216" s="19"/>
      <c r="F216" s="27"/>
      <c r="G216" s="27">
        <f>-sum(46.6*2,62.46)</f>
        <v>-155.66</v>
      </c>
      <c r="H216" s="19"/>
      <c r="I216" s="19"/>
      <c r="J216" s="19"/>
      <c r="K216" s="19"/>
      <c r="L216" s="27">
        <v>-40.49</v>
      </c>
      <c r="M216" s="30"/>
      <c r="N216" s="3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26">
        <v>45129.0</v>
      </c>
      <c r="B217" s="19"/>
      <c r="C217" s="27"/>
      <c r="D217" s="19"/>
      <c r="E217" s="19"/>
      <c r="F217" s="27"/>
      <c r="G217" s="27"/>
      <c r="H217" s="19"/>
      <c r="I217" s="27"/>
      <c r="J217" s="19"/>
      <c r="K217" s="19"/>
      <c r="L217" s="27"/>
      <c r="M217" s="30"/>
      <c r="N217" s="3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26">
        <v>45130.0</v>
      </c>
      <c r="B218" s="19"/>
      <c r="C218" s="27"/>
      <c r="D218" s="19"/>
      <c r="E218" s="27"/>
      <c r="F218" s="27"/>
      <c r="G218" s="19"/>
      <c r="H218" s="27"/>
      <c r="I218" s="27"/>
      <c r="J218" s="19"/>
      <c r="K218" s="19"/>
      <c r="L218" s="19"/>
      <c r="M218" s="30"/>
      <c r="N218" s="3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26">
        <v>45131.0</v>
      </c>
      <c r="B219" s="19"/>
      <c r="C219" s="27"/>
      <c r="D219" s="19"/>
      <c r="E219" s="27"/>
      <c r="F219" s="27"/>
      <c r="G219" s="27">
        <f>-sum(33.84,40.03)</f>
        <v>-73.87</v>
      </c>
      <c r="H219" s="27"/>
      <c r="I219" s="19"/>
      <c r="J219" s="19"/>
      <c r="K219" s="27">
        <v>-395.0</v>
      </c>
      <c r="L219" s="19"/>
      <c r="M219" s="30"/>
      <c r="N219" s="3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26">
        <v>45132.0</v>
      </c>
      <c r="B220" s="19"/>
      <c r="C220" s="27"/>
      <c r="D220" s="19"/>
      <c r="E220" s="27"/>
      <c r="F220" s="27"/>
      <c r="G220" s="19"/>
      <c r="H220" s="19"/>
      <c r="I220" s="19"/>
      <c r="J220" s="27"/>
      <c r="K220" s="19"/>
      <c r="L220" s="19"/>
      <c r="M220" s="30"/>
      <c r="N220" s="3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26">
        <v>45133.0</v>
      </c>
      <c r="B221" s="19"/>
      <c r="C221" s="27"/>
      <c r="D221" s="19"/>
      <c r="E221" s="27"/>
      <c r="F221" s="27"/>
      <c r="G221" s="27"/>
      <c r="H221" s="27">
        <v>-64.99</v>
      </c>
      <c r="I221" s="19"/>
      <c r="J221" s="19"/>
      <c r="K221" s="19"/>
      <c r="L221" s="19"/>
      <c r="M221" s="30"/>
      <c r="N221" s="3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26">
        <v>45134.0</v>
      </c>
      <c r="B222" s="19"/>
      <c r="C222" s="27"/>
      <c r="D222" s="19"/>
      <c r="E222" s="19"/>
      <c r="F222" s="19"/>
      <c r="G222" s="19"/>
      <c r="H222" s="19"/>
      <c r="I222" s="19"/>
      <c r="J222" s="19"/>
      <c r="K222" s="19"/>
      <c r="L222" s="19"/>
      <c r="M222" s="30"/>
      <c r="N222" s="3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26">
        <v>45135.0</v>
      </c>
      <c r="B223" s="19"/>
      <c r="C223" s="27"/>
      <c r="D223" s="19"/>
      <c r="E223" s="19"/>
      <c r="F223" s="27"/>
      <c r="G223" s="27"/>
      <c r="H223" s="27">
        <v>-151.02</v>
      </c>
      <c r="I223" s="27">
        <v>-34.6</v>
      </c>
      <c r="J223" s="19"/>
      <c r="K223" s="19"/>
      <c r="L223" s="27">
        <v>-80.84</v>
      </c>
      <c r="M223" s="30"/>
      <c r="N223" s="3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26">
        <v>45136.0</v>
      </c>
      <c r="B224" s="19"/>
      <c r="C224" s="27"/>
      <c r="D224" s="19"/>
      <c r="E224" s="19"/>
      <c r="F224" s="27"/>
      <c r="G224" s="27">
        <v>-297.16</v>
      </c>
      <c r="H224" s="27">
        <f>-sum(36,22.64)</f>
        <v>-58.64</v>
      </c>
      <c r="I224" s="27"/>
      <c r="J224" s="19"/>
      <c r="K224" s="19"/>
      <c r="L224" s="27"/>
      <c r="M224" s="30"/>
      <c r="N224" s="3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26">
        <v>45137.0</v>
      </c>
      <c r="B225" s="19"/>
      <c r="C225" s="27"/>
      <c r="D225" s="19"/>
      <c r="E225" s="19"/>
      <c r="F225" s="27"/>
      <c r="G225" s="27"/>
      <c r="H225" s="27"/>
      <c r="I225" s="27"/>
      <c r="J225" s="19"/>
      <c r="K225" s="19"/>
      <c r="L225" s="19"/>
      <c r="M225" s="30"/>
      <c r="N225" s="3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26">
        <v>45138.0</v>
      </c>
      <c r="B226" s="19"/>
      <c r="C226" s="27"/>
      <c r="D226" s="19"/>
      <c r="E226" s="19"/>
      <c r="F226" s="19"/>
      <c r="G226" s="27"/>
      <c r="H226" s="27">
        <f>-sum(97.75,76.84)</f>
        <v>-174.59</v>
      </c>
      <c r="I226" s="27"/>
      <c r="J226" s="19"/>
      <c r="K226" s="19"/>
      <c r="L226" s="19"/>
      <c r="M226" s="30"/>
      <c r="N226" s="3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26">
        <v>45139.0</v>
      </c>
      <c r="B227" s="19"/>
      <c r="C227" s="27"/>
      <c r="D227" s="19"/>
      <c r="E227" s="19"/>
      <c r="F227" s="27"/>
      <c r="G227" s="27">
        <f>-sum(5,9.99)</f>
        <v>-14.99</v>
      </c>
      <c r="H227" s="27"/>
      <c r="I227" s="27"/>
      <c r="J227" s="19"/>
      <c r="K227" s="19"/>
      <c r="L227" s="19"/>
      <c r="M227" s="30"/>
      <c r="N227" s="3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26">
        <v>45140.0</v>
      </c>
      <c r="B228" s="19"/>
      <c r="C228" s="27"/>
      <c r="D228" s="19"/>
      <c r="E228" s="27"/>
      <c r="F228" s="27"/>
      <c r="G228" s="27"/>
      <c r="H228" s="19"/>
      <c r="I228" s="19"/>
      <c r="J228" s="19"/>
      <c r="K228" s="27"/>
      <c r="L228" s="19"/>
      <c r="M228" s="30"/>
      <c r="N228" s="3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26">
        <v>45141.0</v>
      </c>
      <c r="B229" s="19"/>
      <c r="C229" s="27"/>
      <c r="D229" s="19"/>
      <c r="E229" s="27"/>
      <c r="F229" s="27"/>
      <c r="G229" s="27">
        <f>-sum(172.65,46.6)</f>
        <v>-219.25</v>
      </c>
      <c r="H229" s="27"/>
      <c r="I229" s="19"/>
      <c r="J229" s="19"/>
      <c r="K229" s="19"/>
      <c r="L229" s="19"/>
      <c r="M229" s="30"/>
      <c r="N229" s="3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26">
        <v>45142.0</v>
      </c>
      <c r="B230" s="19"/>
      <c r="C230" s="27"/>
      <c r="D230" s="19"/>
      <c r="E230" s="19"/>
      <c r="F230" s="19"/>
      <c r="G230" s="27">
        <f>-sum(149.76,46.6)</f>
        <v>-196.36</v>
      </c>
      <c r="H230" s="27">
        <f>-sum(5.8,11,8)</f>
        <v>-24.8</v>
      </c>
      <c r="I230" s="19"/>
      <c r="J230" s="19"/>
      <c r="K230" s="19"/>
      <c r="L230" s="27">
        <v>-107.89</v>
      </c>
      <c r="M230" s="30"/>
      <c r="N230" s="3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26">
        <v>45143.0</v>
      </c>
      <c r="B231" s="19"/>
      <c r="C231" s="27"/>
      <c r="D231" s="19"/>
      <c r="E231" s="19"/>
      <c r="F231" s="27">
        <v>-5.0</v>
      </c>
      <c r="G231" s="27"/>
      <c r="H231" s="19"/>
      <c r="I231" s="27">
        <v>-24.0</v>
      </c>
      <c r="J231" s="19"/>
      <c r="K231" s="19"/>
      <c r="L231" s="27"/>
      <c r="M231" s="30"/>
      <c r="N231" s="3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26">
        <v>45144.0</v>
      </c>
      <c r="B232" s="19"/>
      <c r="C232" s="27"/>
      <c r="D232" s="19"/>
      <c r="E232" s="19"/>
      <c r="F232" s="19"/>
      <c r="G232" s="19"/>
      <c r="H232" s="19">
        <f>-sum(6.54,10.49)</f>
        <v>-17.03</v>
      </c>
      <c r="I232" s="27">
        <v>-36.45</v>
      </c>
      <c r="J232" s="19"/>
      <c r="K232" s="19"/>
      <c r="L232" s="27"/>
      <c r="M232" s="30"/>
      <c r="N232" s="3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26">
        <v>45145.0</v>
      </c>
      <c r="B233" s="19"/>
      <c r="C233" s="27"/>
      <c r="D233" s="19"/>
      <c r="E233" s="27"/>
      <c r="F233" s="27"/>
      <c r="G233" s="27">
        <v>-29.17</v>
      </c>
      <c r="H233" s="27"/>
      <c r="I233" s="27"/>
      <c r="J233" s="19"/>
      <c r="K233" s="19">
        <f>-sum(744,1385)</f>
        <v>-2129</v>
      </c>
      <c r="L233" s="19"/>
      <c r="M233" s="30"/>
      <c r="N233" s="3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26">
        <v>45146.0</v>
      </c>
      <c r="B234" s="19"/>
      <c r="C234" s="27"/>
      <c r="D234" s="19"/>
      <c r="E234" s="19"/>
      <c r="F234" s="27"/>
      <c r="G234" s="27">
        <f>-sum(33.84,6)</f>
        <v>-39.84</v>
      </c>
      <c r="H234" s="19">
        <f>-sum(28.1,34.69,11.62,16.8)</f>
        <v>-91.21</v>
      </c>
      <c r="I234" s="19"/>
      <c r="J234" s="19"/>
      <c r="K234" s="19"/>
      <c r="L234" s="19"/>
      <c r="M234" s="30"/>
      <c r="N234" s="3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26">
        <v>45147.0</v>
      </c>
      <c r="B235" s="19"/>
      <c r="C235" s="27"/>
      <c r="D235" s="19"/>
      <c r="E235" s="27">
        <v>-4.0</v>
      </c>
      <c r="F235" s="27">
        <v>4.0</v>
      </c>
      <c r="G235" s="27"/>
      <c r="H235" s="19">
        <f>-sum(73.6,46.53)</f>
        <v>-120.13</v>
      </c>
      <c r="I235" s="27">
        <f>-sum(11.16)</f>
        <v>-11.16</v>
      </c>
      <c r="J235" s="19"/>
      <c r="K235" s="19"/>
      <c r="L235" s="19"/>
      <c r="M235" s="30"/>
      <c r="N235" s="3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26">
        <v>45148.0</v>
      </c>
      <c r="B236" s="19"/>
      <c r="C236" s="27"/>
      <c r="D236" s="19"/>
      <c r="E236" s="27"/>
      <c r="F236" s="27">
        <f>-sum(1,15,-40)</f>
        <v>24</v>
      </c>
      <c r="G236" s="19"/>
      <c r="H236" s="27">
        <v>-40.0</v>
      </c>
      <c r="I236" s="27">
        <f>-sum(54.86,6.2)</f>
        <v>-61.06</v>
      </c>
      <c r="J236" s="19"/>
      <c r="K236" s="27">
        <v>-500.0</v>
      </c>
      <c r="L236" s="19"/>
      <c r="M236" s="30"/>
      <c r="N236" s="3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26">
        <v>45149.0</v>
      </c>
      <c r="B237" s="19"/>
      <c r="C237" s="27"/>
      <c r="D237" s="19"/>
      <c r="E237" s="27"/>
      <c r="F237" s="27">
        <v>4537.93</v>
      </c>
      <c r="G237" s="19"/>
      <c r="H237" s="27"/>
      <c r="I237" s="27"/>
      <c r="J237" s="19"/>
      <c r="K237" s="19"/>
      <c r="L237" s="27">
        <v>-107.89</v>
      </c>
      <c r="M237" s="30"/>
      <c r="N237" s="3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26">
        <v>45150.0</v>
      </c>
      <c r="B238" s="19"/>
      <c r="C238" s="27"/>
      <c r="D238" s="19"/>
      <c r="E238" s="27"/>
      <c r="F238" s="27">
        <v>-22.0</v>
      </c>
      <c r="G238" s="19"/>
      <c r="H238" s="27">
        <f>-sum(52,134.03)</f>
        <v>-186.03</v>
      </c>
      <c r="I238" s="27">
        <v>-50.75</v>
      </c>
      <c r="J238" s="19"/>
      <c r="K238" s="19"/>
      <c r="L238" s="27"/>
      <c r="M238" s="30"/>
      <c r="N238" s="3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26">
        <v>45151.0</v>
      </c>
      <c r="B239" s="19"/>
      <c r="C239" s="27"/>
      <c r="D239" s="19"/>
      <c r="E239" s="19"/>
      <c r="F239" s="27">
        <v>-6.0</v>
      </c>
      <c r="G239" s="27">
        <v>-4.49</v>
      </c>
      <c r="H239" s="27">
        <v>-36.35</v>
      </c>
      <c r="I239" s="27">
        <v>-58.93</v>
      </c>
      <c r="J239" s="19"/>
      <c r="K239" s="19"/>
      <c r="L239" s="19"/>
      <c r="M239" s="30"/>
      <c r="N239" s="3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26">
        <v>45152.0</v>
      </c>
      <c r="B240" s="19"/>
      <c r="C240" s="27"/>
      <c r="D240" s="19"/>
      <c r="E240" s="27"/>
      <c r="F240" s="27"/>
      <c r="G240" s="27">
        <v>-110.0</v>
      </c>
      <c r="H240" s="27">
        <v>-4.4</v>
      </c>
      <c r="I240" s="27">
        <v>-43.53</v>
      </c>
      <c r="J240" s="19"/>
      <c r="K240" s="19"/>
      <c r="L240" s="19"/>
      <c r="M240" s="30"/>
      <c r="N240" s="3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26">
        <v>45153.0</v>
      </c>
      <c r="B241" s="19"/>
      <c r="C241" s="27"/>
      <c r="D241" s="19"/>
      <c r="E241" s="27"/>
      <c r="F241" s="27"/>
      <c r="G241" s="19"/>
      <c r="H241" s="27"/>
      <c r="I241" s="27">
        <f>-sum(20.24,4.6)</f>
        <v>-24.84</v>
      </c>
      <c r="J241" s="19"/>
      <c r="K241" s="19"/>
      <c r="L241" s="19"/>
      <c r="M241" s="30"/>
      <c r="N241" s="3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26">
        <v>45154.0</v>
      </c>
      <c r="B242" s="19"/>
      <c r="C242" s="27"/>
      <c r="D242" s="19"/>
      <c r="E242" s="27">
        <v>-37.05</v>
      </c>
      <c r="F242" s="27"/>
      <c r="G242" s="27"/>
      <c r="H242" s="27"/>
      <c r="I242" s="19">
        <f>-sum(16)</f>
        <v>-16</v>
      </c>
      <c r="J242" s="19"/>
      <c r="K242" s="27"/>
      <c r="L242" s="19"/>
      <c r="M242" s="30"/>
      <c r="N242" s="3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26">
        <v>45155.0</v>
      </c>
      <c r="B243" s="19"/>
      <c r="C243" s="27"/>
      <c r="D243" s="19"/>
      <c r="E243" s="19"/>
      <c r="F243" s="27">
        <f>-sum(46.6,4,98.8)</f>
        <v>-149.4</v>
      </c>
      <c r="G243" s="19">
        <f>-sum(34.23,46.6)</f>
        <v>-80.83</v>
      </c>
      <c r="H243" s="27">
        <v>-75.29</v>
      </c>
      <c r="I243" s="27">
        <f>-sum(34.51,68.14)</f>
        <v>-102.65</v>
      </c>
      <c r="J243" s="19"/>
      <c r="K243" s="19"/>
      <c r="L243" s="19"/>
      <c r="M243" s="30"/>
      <c r="N243" s="3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26">
        <v>45156.0</v>
      </c>
      <c r="B244" s="19"/>
      <c r="C244" s="27"/>
      <c r="D244" s="19"/>
      <c r="E244" s="27"/>
      <c r="F244" s="27">
        <v>-19.99</v>
      </c>
      <c r="G244" s="27">
        <v>-49.02</v>
      </c>
      <c r="H244" s="27">
        <f>-sum(10,105.64)</f>
        <v>-115.64</v>
      </c>
      <c r="I244" s="27">
        <v>-10.2</v>
      </c>
      <c r="J244" s="27">
        <v>-30.55</v>
      </c>
      <c r="K244" s="19"/>
      <c r="L244" s="27">
        <v>-107.89</v>
      </c>
      <c r="M244" s="30"/>
      <c r="N244" s="3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26">
        <v>45157.0</v>
      </c>
      <c r="B245" s="19"/>
      <c r="C245" s="27"/>
      <c r="D245" s="19"/>
      <c r="E245" s="19"/>
      <c r="F245" s="27">
        <f>-sum(1.03,14.8)</f>
        <v>-15.83</v>
      </c>
      <c r="G245" s="27"/>
      <c r="H245" s="27"/>
      <c r="I245" s="19"/>
      <c r="J245" s="19"/>
      <c r="K245" s="19"/>
      <c r="L245" s="27"/>
      <c r="M245" s="30"/>
      <c r="N245" s="3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26">
        <v>45158.0</v>
      </c>
      <c r="B246" s="19"/>
      <c r="C246" s="27"/>
      <c r="D246" s="19"/>
      <c r="E246" s="27">
        <v>-4318.7</v>
      </c>
      <c r="F246" s="19"/>
      <c r="G246" s="27">
        <f>-sum(31.3,0.94)</f>
        <v>-32.24</v>
      </c>
      <c r="H246" s="27">
        <f>-sum(7.5,19.99)</f>
        <v>-27.49</v>
      </c>
      <c r="I246" s="19"/>
      <c r="J246" s="19"/>
      <c r="K246" s="19"/>
      <c r="L246" s="19"/>
      <c r="M246" s="30"/>
      <c r="N246" s="3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26">
        <v>45159.0</v>
      </c>
      <c r="B247" s="19"/>
      <c r="C247" s="27"/>
      <c r="D247" s="19"/>
      <c r="E247" s="27"/>
      <c r="F247" s="27"/>
      <c r="G247" s="27">
        <v>-33.84</v>
      </c>
      <c r="H247" s="19">
        <f>-Sum(48.72,-2.68,9,51.9)</f>
        <v>-106.94</v>
      </c>
      <c r="I247" s="27">
        <v>-35.52</v>
      </c>
      <c r="J247" s="19"/>
      <c r="K247" s="19"/>
      <c r="L247" s="19"/>
      <c r="M247" s="30"/>
      <c r="N247" s="3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26">
        <v>45160.0</v>
      </c>
      <c r="B248" s="19"/>
      <c r="C248" s="27"/>
      <c r="D248" s="19"/>
      <c r="E248" s="19"/>
      <c r="F248" s="27"/>
      <c r="G248" s="27">
        <v>-40.03</v>
      </c>
      <c r="H248" s="27"/>
      <c r="I248" s="19"/>
      <c r="J248" s="19"/>
      <c r="K248" s="19"/>
      <c r="L248" s="19"/>
      <c r="M248" s="30"/>
      <c r="N248" s="3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26">
        <v>45161.0</v>
      </c>
      <c r="B249" s="19"/>
      <c r="C249" s="27"/>
      <c r="D249" s="19"/>
      <c r="E249" s="19"/>
      <c r="F249" s="19"/>
      <c r="G249" s="19"/>
      <c r="H249" s="27">
        <f>-sum(19.15,25.1)</f>
        <v>-44.25</v>
      </c>
      <c r="I249" s="19"/>
      <c r="J249" s="19"/>
      <c r="K249" s="19"/>
      <c r="L249" s="19"/>
      <c r="M249" s="30"/>
      <c r="N249" s="3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26">
        <v>45162.0</v>
      </c>
      <c r="B250" s="19"/>
      <c r="C250" s="27"/>
      <c r="D250" s="19"/>
      <c r="E250" s="19"/>
      <c r="F250" s="27"/>
      <c r="G250" s="27">
        <v>-64.99</v>
      </c>
      <c r="H250" s="27">
        <v>-78.0</v>
      </c>
      <c r="I250" s="27">
        <v>-9.13</v>
      </c>
      <c r="J250" s="27"/>
      <c r="K250" s="19"/>
      <c r="L250" s="19"/>
      <c r="M250" s="30"/>
      <c r="N250" s="3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26">
        <v>45163.0</v>
      </c>
      <c r="B251" s="19"/>
      <c r="C251" s="27"/>
      <c r="D251" s="19"/>
      <c r="E251" s="27"/>
      <c r="F251" s="27"/>
      <c r="G251" s="27"/>
      <c r="H251" s="27">
        <f>-sum(32.74,29.07,50.1)</f>
        <v>-111.91</v>
      </c>
      <c r="I251" s="27"/>
      <c r="J251" s="19"/>
      <c r="K251" s="27"/>
      <c r="L251" s="27">
        <v>-1142.83</v>
      </c>
      <c r="M251" s="30"/>
      <c r="N251" s="3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26">
        <v>45164.0</v>
      </c>
      <c r="B252" s="19"/>
      <c r="C252" s="27"/>
      <c r="D252" s="19"/>
      <c r="E252" s="27"/>
      <c r="F252" s="19"/>
      <c r="G252" s="27"/>
      <c r="H252" s="19"/>
      <c r="I252" s="27"/>
      <c r="J252" s="19"/>
      <c r="K252" s="19"/>
      <c r="L252" s="27"/>
      <c r="M252" s="30"/>
      <c r="N252" s="3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26">
        <v>45165.0</v>
      </c>
      <c r="B253" s="19"/>
      <c r="C253" s="27"/>
      <c r="D253" s="19"/>
      <c r="E253" s="19"/>
      <c r="F253" s="19"/>
      <c r="G253" s="27"/>
      <c r="H253" s="27">
        <v>-5.98</v>
      </c>
      <c r="I253" s="19"/>
      <c r="J253" s="19"/>
      <c r="K253" s="19"/>
      <c r="L253" s="19"/>
      <c r="M253" s="30"/>
      <c r="N253" s="3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26">
        <v>45166.0</v>
      </c>
      <c r="B254" s="19"/>
      <c r="C254" s="27"/>
      <c r="D254" s="19"/>
      <c r="E254" s="27"/>
      <c r="F254" s="19"/>
      <c r="G254" s="19"/>
      <c r="H254" s="19">
        <f>-sum(40.95,34.45)</f>
        <v>-75.4</v>
      </c>
      <c r="I254" s="19"/>
      <c r="J254" s="19"/>
      <c r="K254" s="19"/>
      <c r="L254" s="19"/>
      <c r="M254" s="30"/>
      <c r="N254" s="3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26">
        <v>45167.0</v>
      </c>
      <c r="B255" s="19"/>
      <c r="C255" s="27"/>
      <c r="D255" s="19"/>
      <c r="E255" s="19"/>
      <c r="F255" s="27"/>
      <c r="G255" s="19"/>
      <c r="H255" s="27">
        <v>-17.98</v>
      </c>
      <c r="I255" s="27">
        <v>-45.86</v>
      </c>
      <c r="J255" s="27"/>
      <c r="K255" s="19"/>
      <c r="L255" s="19"/>
      <c r="M255" s="30"/>
      <c r="N255" s="3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26">
        <v>45168.0</v>
      </c>
      <c r="B256" s="19"/>
      <c r="C256" s="27"/>
      <c r="D256" s="19"/>
      <c r="E256" s="19"/>
      <c r="F256" s="27">
        <v>-20.0</v>
      </c>
      <c r="G256" s="19"/>
      <c r="H256" s="27">
        <v>-16.05</v>
      </c>
      <c r="I256" s="27">
        <v>-76.0</v>
      </c>
      <c r="J256" s="19"/>
      <c r="K256" s="19"/>
      <c r="L256" s="19"/>
      <c r="M256" s="30"/>
      <c r="N256" s="3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26">
        <v>45169.0</v>
      </c>
      <c r="B257" s="19"/>
      <c r="C257" s="27"/>
      <c r="D257" s="19"/>
      <c r="E257" s="19"/>
      <c r="F257" s="27"/>
      <c r="G257" s="27">
        <v>-46.6</v>
      </c>
      <c r="H257" s="19">
        <f>-sum(28,84.89)</f>
        <v>-112.89</v>
      </c>
      <c r="I257" s="27">
        <v>-48.45</v>
      </c>
      <c r="J257" s="19"/>
      <c r="K257" s="19"/>
      <c r="L257" s="27"/>
      <c r="M257" s="30"/>
      <c r="N257" s="3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26">
        <v>45170.0</v>
      </c>
      <c r="B258" s="19"/>
      <c r="C258" s="27"/>
      <c r="D258" s="19"/>
      <c r="E258" s="19"/>
      <c r="F258" s="27"/>
      <c r="G258" s="27">
        <v>-9.99</v>
      </c>
      <c r="H258" s="19">
        <f>-sum(27.5)</f>
        <v>-27.5</v>
      </c>
      <c r="I258" s="19"/>
      <c r="J258" s="19"/>
      <c r="K258" s="19"/>
      <c r="L258" s="27">
        <v>-107.89</v>
      </c>
      <c r="M258" s="30"/>
      <c r="N258" s="3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26">
        <v>45171.0</v>
      </c>
      <c r="B259" s="19"/>
      <c r="C259" s="27"/>
      <c r="D259" s="19"/>
      <c r="E259" s="19"/>
      <c r="F259" s="27"/>
      <c r="G259" s="27"/>
      <c r="H259" s="27">
        <v>-28.07</v>
      </c>
      <c r="I259" s="19"/>
      <c r="J259" s="19"/>
      <c r="K259" s="19"/>
      <c r="L259" s="27"/>
      <c r="M259" s="30"/>
      <c r="N259" s="3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26">
        <v>45172.0</v>
      </c>
      <c r="B260" s="19"/>
      <c r="C260" s="27"/>
      <c r="D260" s="19"/>
      <c r="E260" s="19"/>
      <c r="F260" s="19"/>
      <c r="G260" s="27"/>
      <c r="H260" s="19">
        <f>-sum(14.66,10.9)</f>
        <v>-25.56</v>
      </c>
      <c r="I260" s="19"/>
      <c r="J260" s="19"/>
      <c r="K260" s="27"/>
      <c r="L260" s="19"/>
      <c r="M260" s="30"/>
      <c r="N260" s="3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26">
        <v>45173.0</v>
      </c>
      <c r="B261" s="19"/>
      <c r="C261" s="27"/>
      <c r="D261" s="19"/>
      <c r="E261" s="27"/>
      <c r="F261" s="27"/>
      <c r="G261" s="27">
        <v>-33.84</v>
      </c>
      <c r="H261" s="27">
        <v>-15.35</v>
      </c>
      <c r="I261" s="27">
        <v>-65.98</v>
      </c>
      <c r="J261" s="19"/>
      <c r="K261" s="19"/>
      <c r="L261" s="19"/>
      <c r="M261" s="30"/>
      <c r="N261" s="3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26">
        <v>45174.0</v>
      </c>
      <c r="B262" s="19"/>
      <c r="C262" s="27"/>
      <c r="D262" s="19"/>
      <c r="E262" s="19"/>
      <c r="F262" s="27">
        <v>-89.99</v>
      </c>
      <c r="G262" s="27"/>
      <c r="H262" s="19"/>
      <c r="I262" s="27"/>
      <c r="J262" s="19"/>
      <c r="K262" s="19"/>
      <c r="L262" s="19"/>
      <c r="M262" s="30"/>
      <c r="N262" s="3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26">
        <v>45175.0</v>
      </c>
      <c r="B263" s="19"/>
      <c r="C263" s="27"/>
      <c r="D263" s="19"/>
      <c r="E263" s="27"/>
      <c r="F263" s="27"/>
      <c r="G263" s="27"/>
      <c r="H263" s="27">
        <v>-89.73</v>
      </c>
      <c r="I263" s="27">
        <v>-4.6</v>
      </c>
      <c r="J263" s="19"/>
      <c r="K263" s="19">
        <f>-sum(744,1385)</f>
        <v>-2129</v>
      </c>
      <c r="L263" s="1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26">
        <v>45176.0</v>
      </c>
      <c r="B264" s="19"/>
      <c r="C264" s="27"/>
      <c r="D264" s="19"/>
      <c r="E264" s="19"/>
      <c r="F264" s="27">
        <v>-109.0</v>
      </c>
      <c r="G264" s="19"/>
      <c r="H264" s="27">
        <v>-5.79</v>
      </c>
      <c r="I264" s="27">
        <v>-4.6</v>
      </c>
      <c r="J264" s="19"/>
      <c r="K264" s="27">
        <v>-500.0</v>
      </c>
      <c r="L264" s="1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26">
        <v>45177.0</v>
      </c>
      <c r="B265" s="19"/>
      <c r="C265" s="27"/>
      <c r="D265" s="19"/>
      <c r="E265" s="27"/>
      <c r="F265" s="27">
        <v>-6.6</v>
      </c>
      <c r="G265" s="19"/>
      <c r="H265" s="27">
        <v>-94.15</v>
      </c>
      <c r="I265" s="27">
        <v>-50.3</v>
      </c>
      <c r="J265" s="19"/>
      <c r="K265" s="19"/>
      <c r="L265" s="27">
        <v>-107.89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26">
        <v>45178.0</v>
      </c>
      <c r="B266" s="19"/>
      <c r="C266" s="27"/>
      <c r="D266" s="19"/>
      <c r="E266" s="27"/>
      <c r="F266" s="19">
        <f>-sum(1.6,0.6,44.46)</f>
        <v>-46.66</v>
      </c>
      <c r="H266" s="19">
        <f>-sum(16.5,38)</f>
        <v>-54.5</v>
      </c>
      <c r="I266" s="19"/>
      <c r="J266" s="19"/>
      <c r="K266" s="19"/>
      <c r="L266" s="2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26">
        <v>45179.0</v>
      </c>
      <c r="B267" s="19"/>
      <c r="C267" s="27"/>
      <c r="D267" s="19"/>
      <c r="E267" s="27"/>
      <c r="F267" s="27">
        <v>4.0</v>
      </c>
      <c r="G267" s="27"/>
      <c r="H267" s="19"/>
      <c r="I267" s="19"/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26">
        <v>45180.0</v>
      </c>
      <c r="B268" s="19"/>
      <c r="C268" s="27"/>
      <c r="D268" s="19"/>
      <c r="E268" s="27"/>
      <c r="F268" s="27">
        <v>-15.0</v>
      </c>
      <c r="G268" s="27">
        <v>-2.5</v>
      </c>
      <c r="H268" s="27">
        <f>-sum(20.64,60.97)</f>
        <v>-81.61</v>
      </c>
      <c r="I268" s="27">
        <v>-9.74</v>
      </c>
      <c r="J268" s="19"/>
      <c r="K268" s="19"/>
      <c r="L268" s="2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26">
        <v>45181.0</v>
      </c>
      <c r="B269" s="19"/>
      <c r="C269" s="27"/>
      <c r="D269" s="19"/>
      <c r="E269" s="27"/>
      <c r="F269" s="27"/>
      <c r="G269" s="27">
        <v>-2.5</v>
      </c>
      <c r="H269" s="27">
        <f>-sum(44.69,71.14)</f>
        <v>-115.83</v>
      </c>
      <c r="I269" s="19"/>
      <c r="J269" s="19"/>
      <c r="K269" s="19"/>
      <c r="L269" s="2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26">
        <v>45182.0</v>
      </c>
      <c r="B270" s="19"/>
      <c r="C270" s="27"/>
      <c r="D270" s="19"/>
      <c r="E270" s="27"/>
      <c r="F270" s="27">
        <f>-sum(15.25,14.5,18)</f>
        <v>-47.75</v>
      </c>
      <c r="G270" s="27">
        <v>-4.49</v>
      </c>
      <c r="H270" s="27">
        <v>-30.3</v>
      </c>
      <c r="I270" s="27">
        <v>-35.52</v>
      </c>
      <c r="J270" s="19"/>
      <c r="K270" s="19"/>
      <c r="L270" s="2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26">
        <v>45183.0</v>
      </c>
      <c r="B271" s="19"/>
      <c r="C271" s="27"/>
      <c r="D271" s="19"/>
      <c r="E271" s="19"/>
      <c r="F271" s="27">
        <v>-35.0</v>
      </c>
      <c r="G271" s="27">
        <f>-48.3*2</f>
        <v>-96.6</v>
      </c>
      <c r="H271" s="19">
        <f>-sum(15.65,19)</f>
        <v>-34.65</v>
      </c>
      <c r="I271" s="27">
        <v>-4.6</v>
      </c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26">
        <v>45184.0</v>
      </c>
      <c r="B272" s="19"/>
      <c r="C272" s="27"/>
      <c r="D272" s="19"/>
      <c r="E272" s="19"/>
      <c r="F272" s="27"/>
      <c r="G272" s="27"/>
      <c r="H272" s="27"/>
      <c r="I272" s="27"/>
      <c r="J272" s="19"/>
      <c r="K272" s="19"/>
      <c r="L272" s="27">
        <v>-107.89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26">
        <v>45185.0</v>
      </c>
      <c r="B273" s="19"/>
      <c r="C273" s="27"/>
      <c r="D273" s="19"/>
      <c r="E273" s="27"/>
      <c r="F273" s="27">
        <f>-sum(9.9,165)</f>
        <v>-174.9</v>
      </c>
      <c r="G273" s="27"/>
      <c r="H273" s="27">
        <f>-sum(179.76)</f>
        <v>-179.76</v>
      </c>
      <c r="I273" s="19">
        <f>-sum(9,64.01,13)</f>
        <v>-86.01</v>
      </c>
      <c r="J273" s="19"/>
      <c r="K273" s="19"/>
      <c r="L273" s="2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26">
        <v>45186.0</v>
      </c>
      <c r="B274" s="19"/>
      <c r="C274" s="27"/>
      <c r="D274" s="19"/>
      <c r="E274" s="27">
        <v>-3.0</v>
      </c>
      <c r="F274" s="27">
        <f>-sum(2,9.9,165)</f>
        <v>-176.9</v>
      </c>
      <c r="G274" s="27">
        <v>-34.23</v>
      </c>
      <c r="H274" s="19">
        <f>-sum(30,56.9,21.7,179.76)</f>
        <v>-288.36</v>
      </c>
      <c r="I274" s="27">
        <v>-38.67</v>
      </c>
      <c r="J274" s="19"/>
      <c r="K274" s="27"/>
      <c r="L274" s="1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26">
        <v>45187.0</v>
      </c>
      <c r="B275" s="19"/>
      <c r="C275" s="27"/>
      <c r="D275" s="19"/>
      <c r="E275" s="19"/>
      <c r="F275" s="27">
        <f>-sum(9.9,165)</f>
        <v>-174.9</v>
      </c>
      <c r="G275" s="27">
        <f>-sum(1.03,45.66,33.84)</f>
        <v>-80.53</v>
      </c>
      <c r="H275" s="19">
        <f>-sum(49.34,24.8)</f>
        <v>-74.14</v>
      </c>
      <c r="I275" s="27"/>
      <c r="J275" s="19"/>
      <c r="K275" s="19"/>
      <c r="L275" s="1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26">
        <v>45188.0</v>
      </c>
      <c r="B276" s="19"/>
      <c r="C276" s="27"/>
      <c r="D276" s="19"/>
      <c r="E276" s="27"/>
      <c r="F276" s="19"/>
      <c r="G276" s="27"/>
      <c r="H276" s="19"/>
      <c r="I276" s="27"/>
      <c r="J276" s="19"/>
      <c r="K276" s="19"/>
      <c r="L276" s="1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26">
        <v>45189.0</v>
      </c>
      <c r="B277" s="19"/>
      <c r="C277" s="27"/>
      <c r="D277" s="19"/>
      <c r="E277" s="27">
        <v>-20.0</v>
      </c>
      <c r="F277" s="27"/>
      <c r="G277" s="27"/>
      <c r="H277" s="27"/>
      <c r="I277" s="27">
        <f>-sum(16,5)</f>
        <v>-21</v>
      </c>
      <c r="J277" s="19"/>
      <c r="K277" s="19"/>
      <c r="L277" s="1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26">
        <v>45190.0</v>
      </c>
      <c r="B278" s="19"/>
      <c r="C278" s="27"/>
      <c r="D278" s="19"/>
      <c r="E278" s="19"/>
      <c r="F278" s="27">
        <v>-15.25</v>
      </c>
      <c r="G278" s="27"/>
      <c r="H278" s="19"/>
      <c r="I278" s="27">
        <f>-sum(62.93,5)</f>
        <v>-67.93</v>
      </c>
      <c r="J278" s="19"/>
      <c r="K278" s="19"/>
      <c r="L278" s="1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26">
        <v>45191.0</v>
      </c>
      <c r="B279" s="19"/>
      <c r="C279" s="27"/>
      <c r="D279" s="19"/>
      <c r="E279" s="19"/>
      <c r="F279" s="27"/>
      <c r="G279" s="27">
        <v>-40.03</v>
      </c>
      <c r="H279" s="27">
        <v>-40.51</v>
      </c>
      <c r="I279" s="19">
        <f>-sum(-82,185)</f>
        <v>-103</v>
      </c>
      <c r="J279" s="19"/>
      <c r="K279" s="19"/>
      <c r="L279" s="27">
        <v>-107.89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26">
        <v>45192.0</v>
      </c>
      <c r="B280" s="19"/>
      <c r="C280" s="27"/>
      <c r="D280" s="19"/>
      <c r="E280" s="19"/>
      <c r="F280" s="27"/>
      <c r="G280" s="27"/>
      <c r="H280" s="19"/>
      <c r="I280" s="27"/>
      <c r="J280" s="19"/>
      <c r="K280" s="19"/>
      <c r="L280" s="2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26">
        <v>45193.0</v>
      </c>
      <c r="B281" s="19"/>
      <c r="C281" s="27"/>
      <c r="D281" s="19"/>
      <c r="E281" s="19"/>
      <c r="F281" s="19"/>
      <c r="G281" s="27"/>
      <c r="H281" s="27">
        <v>-10.4</v>
      </c>
      <c r="I281" s="27">
        <v>-5.02</v>
      </c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26">
        <v>45194.0</v>
      </c>
      <c r="B282" s="19"/>
      <c r="C282" s="27"/>
      <c r="D282" s="19"/>
      <c r="E282" s="27"/>
      <c r="F282" s="27">
        <f>-sum(21.95,325)</f>
        <v>-346.95</v>
      </c>
      <c r="G282" s="27">
        <v>-64.99</v>
      </c>
      <c r="H282" s="19">
        <f>-Sum(29.55,24,22)</f>
        <v>-75.55</v>
      </c>
      <c r="I282" s="27">
        <v>-5.0</v>
      </c>
      <c r="J282" s="19"/>
      <c r="K282" s="19"/>
      <c r="L282" s="2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26">
        <v>45195.0</v>
      </c>
      <c r="B283" s="19"/>
      <c r="C283" s="27"/>
      <c r="D283" s="19"/>
      <c r="E283" s="19"/>
      <c r="F283" s="27"/>
      <c r="G283" s="27"/>
      <c r="H283" s="19">
        <f>-Sum(-24.99,24.64,8.3)</f>
        <v>-7.95</v>
      </c>
      <c r="I283" s="27">
        <v>-11.57</v>
      </c>
      <c r="J283" s="19"/>
      <c r="K283" s="19"/>
      <c r="L283" s="1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26">
        <v>45196.0</v>
      </c>
      <c r="B284" s="19"/>
      <c r="C284" s="27"/>
      <c r="D284" s="19"/>
      <c r="E284" s="27">
        <v>-1.0</v>
      </c>
      <c r="F284" s="27"/>
      <c r="G284" s="19"/>
      <c r="H284" s="27">
        <v>-11.15</v>
      </c>
      <c r="I284" s="19"/>
      <c r="J284" s="19"/>
      <c r="K284" s="19"/>
      <c r="L284" s="2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26">
        <v>45197.0</v>
      </c>
      <c r="B285" s="19"/>
      <c r="C285" s="27"/>
      <c r="D285" s="19"/>
      <c r="E285" s="27"/>
      <c r="F285" s="27">
        <f>-sum(29.95,171.3,21.8,24)</f>
        <v>-247.05</v>
      </c>
      <c r="G285" s="27">
        <f>-48.3*2</f>
        <v>-96.6</v>
      </c>
      <c r="H285" s="19">
        <f>-sum(53.5,14.41)</f>
        <v>-67.91</v>
      </c>
      <c r="I285" s="27">
        <v>-35.52</v>
      </c>
      <c r="J285" s="27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26">
        <v>45198.0</v>
      </c>
      <c r="B286" s="19"/>
      <c r="C286" s="27"/>
      <c r="D286" s="19"/>
      <c r="E286" s="27"/>
      <c r="F286" s="27">
        <f>-sum(82.95,7.68)</f>
        <v>-90.63</v>
      </c>
      <c r="G286" s="27"/>
      <c r="H286" s="27">
        <v>-35.0</v>
      </c>
      <c r="I286" s="27">
        <v>-36.54</v>
      </c>
      <c r="J286" s="19"/>
      <c r="K286" s="19"/>
      <c r="L286" s="27">
        <v>-183.73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26">
        <v>45199.0</v>
      </c>
      <c r="B287" s="19"/>
      <c r="C287" s="27"/>
      <c r="D287" s="19"/>
      <c r="E287" s="27"/>
      <c r="F287" s="27">
        <f>-sum(80.5,30.5)</f>
        <v>-111</v>
      </c>
      <c r="G287" s="27"/>
      <c r="H287" s="27">
        <v>-95.35</v>
      </c>
      <c r="I287" s="27">
        <v>-21.8</v>
      </c>
      <c r="J287" s="19"/>
      <c r="K287" s="19"/>
      <c r="L287" s="2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26">
        <v>45200.0</v>
      </c>
      <c r="B288" s="19"/>
      <c r="C288" s="27"/>
      <c r="D288" s="19"/>
      <c r="E288" s="27"/>
      <c r="F288" s="27">
        <f>-sum(18.11,2,1302.89)</f>
        <v>-1323</v>
      </c>
      <c r="G288" s="27">
        <v>-9.99</v>
      </c>
      <c r="H288" s="19"/>
      <c r="I288" s="27">
        <v>-13.6</v>
      </c>
      <c r="J288" s="19"/>
      <c r="K288" s="27"/>
      <c r="L288" s="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26">
        <v>45201.0</v>
      </c>
      <c r="B289" s="19"/>
      <c r="C289" s="27"/>
      <c r="D289" s="19"/>
      <c r="E289" s="27"/>
      <c r="F289" s="27"/>
      <c r="G289" s="19">
        <f>-sum(33.84,454.3)</f>
        <v>-488.14</v>
      </c>
      <c r="H289" s="19"/>
      <c r="I289" s="19">
        <f>-sum(4.57,14.08)</f>
        <v>-18.65</v>
      </c>
      <c r="J289" s="19"/>
      <c r="K289" s="19"/>
      <c r="L289" s="1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26">
        <v>45202.0</v>
      </c>
      <c r="B290" s="19"/>
      <c r="C290" s="27"/>
      <c r="D290" s="19"/>
      <c r="E290" s="19"/>
      <c r="F290" s="27">
        <v>65</v>
      </c>
      <c r="G290" s="27"/>
      <c r="H290" s="27">
        <f>-sum(48.92,38.29,48.41,60.29,-4.9)</f>
        <v>-191.01</v>
      </c>
      <c r="I290" s="19"/>
      <c r="J290" s="19"/>
      <c r="K290" s="19"/>
      <c r="L290" s="2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26">
        <v>45203.0</v>
      </c>
      <c r="B291" s="19"/>
      <c r="C291" s="27"/>
      <c r="D291" s="19"/>
      <c r="E291" s="19"/>
      <c r="F291" s="27">
        <v>-14.0</v>
      </c>
      <c r="G291" s="27"/>
      <c r="H291" s="19"/>
      <c r="I291" s="19"/>
      <c r="J291" s="19"/>
      <c r="K291" s="19"/>
      <c r="L291" s="2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26">
        <v>45204.0</v>
      </c>
      <c r="B292" s="19"/>
      <c r="C292" s="27"/>
      <c r="D292" s="19"/>
      <c r="E292" s="19"/>
      <c r="F292" s="27">
        <f>-sum(111.3,32.99,39.96)</f>
        <v>-184.25</v>
      </c>
      <c r="G292" s="27">
        <f>-sum(151.12,29.17)</f>
        <v>-180.29</v>
      </c>
      <c r="H292" s="27">
        <f>-sum(56.79)</f>
        <v>-56.79</v>
      </c>
      <c r="I292" s="27">
        <v>-9.14</v>
      </c>
      <c r="J292" s="19"/>
      <c r="K292" s="27"/>
      <c r="L292" s="1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26">
        <v>45205.0</v>
      </c>
      <c r="B293" s="19"/>
      <c r="C293" s="27"/>
      <c r="D293" s="19"/>
      <c r="E293" s="27"/>
      <c r="F293" s="27">
        <v>-12.0</v>
      </c>
      <c r="G293" s="27">
        <v>-57.22</v>
      </c>
      <c r="H293" s="19"/>
      <c r="I293" s="27">
        <f>-sum(4.6,17.93,5.79,7.46)</f>
        <v>-35.78</v>
      </c>
      <c r="J293" s="19"/>
      <c r="K293" s="27">
        <f>-sum(744,1385)</f>
        <v>-2129</v>
      </c>
      <c r="L293" s="27">
        <v>-124.98</v>
      </c>
      <c r="M293" s="8"/>
      <c r="N293" s="8"/>
      <c r="O293" s="29"/>
      <c r="P293" s="29"/>
      <c r="Q293" s="29"/>
      <c r="R293" s="29"/>
      <c r="S293" s="29"/>
      <c r="T293" s="29"/>
      <c r="U293" s="29"/>
      <c r="V293" s="29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26">
        <v>45206.0</v>
      </c>
      <c r="B294" s="19"/>
      <c r="C294" s="27"/>
      <c r="D294" s="19"/>
      <c r="E294" s="27"/>
      <c r="F294" s="27">
        <f>-sum(53,29.6)</f>
        <v>-82.6</v>
      </c>
      <c r="G294" s="19"/>
      <c r="H294" s="27">
        <v>-5.16</v>
      </c>
      <c r="I294" s="27">
        <f>-sum(7.46,50.8)</f>
        <v>-58.26</v>
      </c>
      <c r="J294" s="19"/>
      <c r="K294" s="27">
        <v>-500.0</v>
      </c>
      <c r="L294" s="2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26">
        <v>45207.0</v>
      </c>
      <c r="B295" s="19"/>
      <c r="C295" s="27"/>
      <c r="D295" s="19"/>
      <c r="E295" s="27"/>
      <c r="F295" s="27">
        <v>-140.0</v>
      </c>
      <c r="G295" s="27"/>
      <c r="H295" s="27">
        <v>-2.5</v>
      </c>
      <c r="I295" s="27">
        <f>-sum(3)</f>
        <v>-3</v>
      </c>
      <c r="J295" s="19"/>
      <c r="K295" s="19"/>
      <c r="L295" s="1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26">
        <v>45208.0</v>
      </c>
      <c r="B296" s="19"/>
      <c r="C296" s="27"/>
      <c r="D296" s="19"/>
      <c r="E296" s="19"/>
      <c r="F296" s="27"/>
      <c r="G296" s="27"/>
      <c r="H296" s="27">
        <f>-sum(9.09,51.42,72.65,61.67)</f>
        <v>-194.83</v>
      </c>
      <c r="I296" s="27">
        <v>-70.2</v>
      </c>
      <c r="J296" s="19"/>
      <c r="K296" s="19"/>
      <c r="L296" s="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26">
        <v>45209.0</v>
      </c>
      <c r="B297" s="19"/>
      <c r="C297" s="27"/>
      <c r="D297" s="19"/>
      <c r="E297" s="27"/>
      <c r="F297" s="27">
        <v>4.0</v>
      </c>
      <c r="G297" s="27"/>
      <c r="I297" s="27">
        <f>-sum(30.95,4.87)</f>
        <v>-35.82</v>
      </c>
      <c r="J297" s="19"/>
      <c r="K297" s="19"/>
      <c r="L297" s="1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26">
        <v>45210.0</v>
      </c>
      <c r="B298" s="19"/>
      <c r="C298" s="27"/>
      <c r="D298" s="19"/>
      <c r="E298" s="27"/>
      <c r="F298" s="27">
        <f>-sum(15,189.99)</f>
        <v>-204.99</v>
      </c>
      <c r="G298" s="27">
        <v>-34.99</v>
      </c>
      <c r="H298" s="27">
        <f>-sum(27.49,-11.6)</f>
        <v>-15.89</v>
      </c>
      <c r="I298" s="19"/>
      <c r="J298" s="19"/>
      <c r="K298" s="19"/>
      <c r="L298" s="2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26">
        <v>45211.0</v>
      </c>
      <c r="B299" s="19"/>
      <c r="C299" s="27"/>
      <c r="D299" s="19"/>
      <c r="E299" s="27"/>
      <c r="F299" s="27"/>
      <c r="G299" s="27">
        <f>-sum(4.49,48.3*2)</f>
        <v>-101.09</v>
      </c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26">
        <v>45212.0</v>
      </c>
      <c r="B300" s="19"/>
      <c r="C300" s="27"/>
      <c r="D300" s="19"/>
      <c r="E300" s="27">
        <v>-20.0</v>
      </c>
      <c r="F300" s="27"/>
      <c r="G300" s="27">
        <v>-1.05</v>
      </c>
      <c r="I300" s="19">
        <f>-sum(15.9,4.77,20)</f>
        <v>-40.67</v>
      </c>
      <c r="J300" s="19"/>
      <c r="K300" s="19"/>
      <c r="L300" s="27">
        <v>-124.98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26">
        <v>45213.0</v>
      </c>
      <c r="B301" s="19"/>
      <c r="C301" s="27"/>
      <c r="D301" s="19"/>
      <c r="E301" s="27"/>
      <c r="F301" s="27"/>
      <c r="G301" s="27"/>
      <c r="H301" s="19">
        <f>-sum(27.7,19.5)</f>
        <v>-47.2</v>
      </c>
      <c r="I301" s="27">
        <v>-5.9</v>
      </c>
      <c r="J301" s="19"/>
      <c r="K301" s="19"/>
      <c r="L301" s="2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26">
        <v>45214.0</v>
      </c>
      <c r="B302" s="19"/>
      <c r="C302" s="27"/>
      <c r="D302" s="19"/>
      <c r="E302" s="27"/>
      <c r="F302" s="27"/>
      <c r="G302" s="27"/>
      <c r="H302" s="27">
        <v>-58.4</v>
      </c>
      <c r="I302" s="27">
        <f>-sum(49,16,5,8)</f>
        <v>-78</v>
      </c>
      <c r="J302" s="19"/>
      <c r="K302" s="19"/>
      <c r="L302" s="1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26">
        <v>45215.0</v>
      </c>
      <c r="B303" s="19"/>
      <c r="C303" s="27"/>
      <c r="D303" s="19"/>
      <c r="E303" s="27"/>
      <c r="F303" s="27"/>
      <c r="G303" s="27">
        <v>-33.84</v>
      </c>
      <c r="H303" s="19"/>
      <c r="I303" s="27"/>
      <c r="J303" s="19"/>
      <c r="K303" s="19"/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26">
        <v>45216.0</v>
      </c>
      <c r="B304" s="19"/>
      <c r="C304" s="27"/>
      <c r="D304" s="19"/>
      <c r="E304" s="19"/>
      <c r="F304" s="19"/>
      <c r="G304" s="27">
        <v>-34.99</v>
      </c>
      <c r="H304" s="19">
        <f>-sum(8.3,94.02)</f>
        <v>-102.32</v>
      </c>
      <c r="I304" s="27">
        <f>-sum(10.5,3.85)</f>
        <v>-14.35</v>
      </c>
      <c r="J304" s="19"/>
      <c r="K304" s="19"/>
      <c r="L304" s="1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26">
        <v>45217.0</v>
      </c>
      <c r="B305" s="19"/>
      <c r="C305" s="27"/>
      <c r="D305" s="19"/>
      <c r="E305" s="19"/>
      <c r="F305" s="27"/>
      <c r="G305" s="27"/>
      <c r="H305" s="19">
        <f>-sum(18.76,13.2,58.45,31.53,75.85)</f>
        <v>-197.79</v>
      </c>
      <c r="I305" s="27">
        <f>-sum(59.89,4.6)</f>
        <v>-64.49</v>
      </c>
      <c r="J305" s="19"/>
      <c r="K305" s="19"/>
      <c r="L305" s="1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26">
        <v>45218.0</v>
      </c>
      <c r="B306" s="19"/>
      <c r="C306" s="27"/>
      <c r="D306" s="19"/>
      <c r="E306" s="27"/>
      <c r="F306" s="27">
        <f>-sum(15.25,111.3)</f>
        <v>-126.55</v>
      </c>
      <c r="G306" s="27">
        <v>-1.05</v>
      </c>
      <c r="H306" s="27">
        <v>-16.5</v>
      </c>
      <c r="I306" s="19"/>
      <c r="J306" s="19"/>
      <c r="K306" s="19"/>
      <c r="L306" s="1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26">
        <v>45219.0</v>
      </c>
      <c r="B307" s="19"/>
      <c r="C307" s="27"/>
      <c r="D307" s="19"/>
      <c r="E307" s="27"/>
      <c r="F307" s="27"/>
      <c r="G307" s="19"/>
      <c r="H307" s="27"/>
      <c r="I307" s="19"/>
      <c r="J307" s="19"/>
      <c r="K307" s="19"/>
      <c r="L307" s="27">
        <v>-124.98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26">
        <v>45220.0</v>
      </c>
      <c r="B308" s="19"/>
      <c r="C308" s="27"/>
      <c r="D308" s="19"/>
      <c r="E308" s="19"/>
      <c r="F308" s="27"/>
      <c r="G308" s="27"/>
      <c r="H308" s="19">
        <f>-sum(43.77,7,19.85)</f>
        <v>-70.62</v>
      </c>
      <c r="I308" s="27">
        <v>-5.0</v>
      </c>
      <c r="J308" s="19"/>
      <c r="K308" s="27"/>
      <c r="L308" s="2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26">
        <v>45221.0</v>
      </c>
      <c r="B309" s="19"/>
      <c r="C309" s="27"/>
      <c r="D309" s="19"/>
      <c r="E309" s="27"/>
      <c r="F309" s="27">
        <f>-sum(69,18.93,9.98)</f>
        <v>-97.91</v>
      </c>
      <c r="G309" s="19"/>
      <c r="H309" s="27">
        <v>-58.5</v>
      </c>
      <c r="I309" s="27">
        <v>-49.5</v>
      </c>
      <c r="J309" s="27"/>
      <c r="K309" s="19"/>
      <c r="L309" s="1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26">
        <v>45222.0</v>
      </c>
      <c r="B310" s="19"/>
      <c r="C310" s="27"/>
      <c r="D310" s="19"/>
      <c r="E310" s="19"/>
      <c r="F310" s="27"/>
      <c r="G310" s="27">
        <f>-sum(40.03,29.99)</f>
        <v>-70.02</v>
      </c>
      <c r="H310" s="19"/>
      <c r="I310" s="19"/>
      <c r="J310" s="19"/>
      <c r="K310" s="19"/>
      <c r="L310" s="1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26">
        <v>45223.0</v>
      </c>
      <c r="B311" s="19"/>
      <c r="C311" s="27"/>
      <c r="D311" s="19"/>
      <c r="E311" s="27"/>
      <c r="F311" s="27">
        <v>-10.0</v>
      </c>
      <c r="G311" s="27"/>
      <c r="H311" s="19">
        <f>-sum(33.8,19,-1.69,13.8,32.6,31.99,5.62,8.14)</f>
        <v>-143.26</v>
      </c>
      <c r="I311" s="27">
        <v>-61.5</v>
      </c>
      <c r="J311" s="19"/>
      <c r="K311" s="27"/>
      <c r="L311" s="1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26">
        <v>45224.0</v>
      </c>
      <c r="B312" s="19"/>
      <c r="C312" s="27"/>
      <c r="D312" s="19"/>
      <c r="E312" s="27"/>
      <c r="F312" s="27"/>
      <c r="G312" s="27">
        <f>-sum(64.99,-19.55)</f>
        <v>-45.44</v>
      </c>
      <c r="H312" s="27">
        <v>-16.43</v>
      </c>
      <c r="I312" s="27">
        <f>-sum(61.5,4.6)</f>
        <v>-66.1</v>
      </c>
      <c r="J312" s="19"/>
      <c r="K312" s="19"/>
      <c r="L312" s="1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26">
        <v>45225.0</v>
      </c>
      <c r="B313" s="19"/>
      <c r="C313" s="27"/>
      <c r="D313" s="19"/>
      <c r="E313" s="19"/>
      <c r="F313" s="27"/>
      <c r="G313" s="27">
        <f>-48.3*2</f>
        <v>-96.6</v>
      </c>
      <c r="H313" s="27">
        <v>-21.0</v>
      </c>
      <c r="I313" s="19"/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26">
        <v>45226.0</v>
      </c>
      <c r="B314" s="19"/>
      <c r="C314" s="27"/>
      <c r="D314" s="19"/>
      <c r="E314" s="27"/>
      <c r="F314" s="27"/>
      <c r="G314" s="27"/>
      <c r="H314" s="27">
        <v>-307.86</v>
      </c>
      <c r="I314" s="19"/>
      <c r="J314" s="19"/>
      <c r="K314" s="19"/>
      <c r="L314" s="27">
        <v>124.98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26">
        <v>45227.0</v>
      </c>
      <c r="B315" s="19"/>
      <c r="C315" s="27"/>
      <c r="D315" s="19"/>
      <c r="E315" s="19"/>
      <c r="F315" s="19"/>
      <c r="G315" s="27">
        <v>-297.36</v>
      </c>
      <c r="H315" s="27"/>
      <c r="I315" s="27">
        <v>-52.0</v>
      </c>
      <c r="J315" s="19"/>
      <c r="K315" s="19"/>
      <c r="L315" s="2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26">
        <v>45228.0</v>
      </c>
      <c r="B316" s="19"/>
      <c r="C316" s="27"/>
      <c r="D316" s="19"/>
      <c r="E316" s="27"/>
      <c r="F316" s="27">
        <v>-55.0</v>
      </c>
      <c r="G316" s="27"/>
      <c r="H316" s="19"/>
      <c r="I316" s="27">
        <f>-sum(5,7,39.89)</f>
        <v>-51.89</v>
      </c>
      <c r="J316" s="19"/>
      <c r="K316" s="19"/>
      <c r="L316" s="1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26">
        <v>45229.0</v>
      </c>
      <c r="B317" s="19"/>
      <c r="C317" s="27"/>
      <c r="D317" s="19"/>
      <c r="E317" s="19"/>
      <c r="F317" s="27"/>
      <c r="G317" s="27">
        <v>-33.84</v>
      </c>
      <c r="H317" s="19"/>
      <c r="I317" s="19"/>
      <c r="J317" s="19"/>
      <c r="K317" s="19"/>
      <c r="L317" s="1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26">
        <v>45230.0</v>
      </c>
      <c r="B318" s="19"/>
      <c r="C318" s="27"/>
      <c r="D318" s="19"/>
      <c r="E318" s="27"/>
      <c r="F318" s="27"/>
      <c r="G318" s="27"/>
      <c r="H318" s="27">
        <v>-11.05</v>
      </c>
      <c r="I318" s="19"/>
      <c r="J318" s="19"/>
      <c r="K318" s="19"/>
      <c r="L318" s="1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26">
        <v>45231.0</v>
      </c>
      <c r="B319" s="19"/>
      <c r="C319" s="27"/>
      <c r="D319" s="19"/>
      <c r="E319" s="27"/>
      <c r="F319" s="27"/>
      <c r="G319" s="27">
        <v>-9.99</v>
      </c>
      <c r="H319" s="19"/>
      <c r="I319" s="27">
        <v>-20.0</v>
      </c>
      <c r="J319" s="19"/>
      <c r="K319" s="19"/>
      <c r="L319" s="1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26">
        <v>45232.0</v>
      </c>
      <c r="B320" s="19"/>
      <c r="C320" s="27"/>
      <c r="D320" s="19"/>
      <c r="E320" s="19"/>
      <c r="F320" s="19"/>
      <c r="G320" s="19"/>
      <c r="H320" s="19">
        <f>-sum(22,18.65)</f>
        <v>-40.65</v>
      </c>
      <c r="I320" s="27"/>
      <c r="J320" s="19"/>
      <c r="K320" s="19"/>
      <c r="L320" s="1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26">
        <v>45233.0</v>
      </c>
      <c r="B321" s="19"/>
      <c r="C321" s="27"/>
      <c r="D321" s="19"/>
      <c r="E321" s="27"/>
      <c r="F321" s="27">
        <v>-237.95</v>
      </c>
      <c r="G321" s="27"/>
      <c r="H321" s="27">
        <f>-sum(24.95,20,56.61,2.28)</f>
        <v>-103.84</v>
      </c>
      <c r="I321" s="27">
        <v>-36.54</v>
      </c>
      <c r="J321" s="19"/>
      <c r="K321" s="19"/>
      <c r="L321" s="27">
        <v>-171.38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26">
        <v>45234.0</v>
      </c>
      <c r="B322" s="19"/>
      <c r="C322" s="27"/>
      <c r="D322" s="19"/>
      <c r="E322" s="27"/>
      <c r="F322" s="19">
        <f>-sum(29,48.49)</f>
        <v>-77.49</v>
      </c>
      <c r="G322" s="27"/>
      <c r="H322" s="27">
        <f>-sum(7.1)</f>
        <v>-7.1</v>
      </c>
      <c r="I322" s="27">
        <v>-34.0</v>
      </c>
      <c r="J322" s="19"/>
      <c r="K322" s="27"/>
      <c r="L322" s="2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26">
        <v>45235.0</v>
      </c>
      <c r="B323" s="19"/>
      <c r="C323" s="27"/>
      <c r="D323" s="19"/>
      <c r="E323" s="27"/>
      <c r="F323" s="27">
        <v>-149.95</v>
      </c>
      <c r="G323" s="27"/>
      <c r="H323" s="19">
        <f>-sum(34.3,-6.9,22.5,19.4)</f>
        <v>-69.3</v>
      </c>
      <c r="I323" s="19"/>
      <c r="J323" s="19"/>
      <c r="K323" s="27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26">
        <v>45236.0</v>
      </c>
      <c r="B324" s="19"/>
      <c r="C324" s="27"/>
      <c r="D324" s="19"/>
      <c r="E324" s="27"/>
      <c r="F324" s="27">
        <v>-104.8</v>
      </c>
      <c r="G324" s="19">
        <f>-sum(29.17,52.1)</f>
        <v>-81.27</v>
      </c>
      <c r="H324" s="27">
        <f>-sum(100,31.36)</f>
        <v>-131.36</v>
      </c>
      <c r="I324" s="27">
        <v>-35.52</v>
      </c>
      <c r="J324" s="19"/>
      <c r="K324" s="19">
        <f>-sum(1385,744)</f>
        <v>-2129</v>
      </c>
      <c r="L324" s="1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26">
        <v>45237.0</v>
      </c>
      <c r="B325" s="19"/>
      <c r="C325" s="27"/>
      <c r="D325" s="19"/>
      <c r="E325" s="27"/>
      <c r="F325" s="27">
        <f>-sum(20,15.54)</f>
        <v>-35.54</v>
      </c>
      <c r="G325" s="27"/>
      <c r="H325" s="27">
        <f>-sum(8.95,28.5)</f>
        <v>-37.45</v>
      </c>
      <c r="I325" s="27">
        <f>-sum(7.35,26.9)</f>
        <v>-34.25</v>
      </c>
      <c r="J325" s="19"/>
      <c r="K325" s="19"/>
      <c r="L325" s="2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26">
        <v>45238.0</v>
      </c>
      <c r="B326" s="19"/>
      <c r="C326" s="27"/>
      <c r="D326" s="19"/>
      <c r="E326" s="19"/>
      <c r="F326" s="27">
        <v>-76.76</v>
      </c>
      <c r="G326" s="27"/>
      <c r="H326" s="27"/>
      <c r="I326" s="19"/>
      <c r="J326" s="19"/>
      <c r="K326" s="19"/>
      <c r="L326" s="1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26">
        <v>45239.0</v>
      </c>
      <c r="B327" s="19"/>
      <c r="C327" s="27"/>
      <c r="D327" s="19"/>
      <c r="E327" s="27">
        <v>-62.93</v>
      </c>
      <c r="F327" s="27">
        <f>-sum(165,111.3)</f>
        <v>-276.3</v>
      </c>
      <c r="G327" s="27">
        <f>-sum(48.3,13.8)</f>
        <v>-62.1</v>
      </c>
      <c r="H327" s="27">
        <v>-20.5</v>
      </c>
      <c r="I327" s="27"/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26">
        <v>45240.0</v>
      </c>
      <c r="B328" s="19"/>
      <c r="C328" s="27"/>
      <c r="D328" s="19"/>
      <c r="E328" s="27"/>
      <c r="F328" s="27">
        <v>-89.15</v>
      </c>
      <c r="G328" s="27"/>
      <c r="H328" s="19">
        <f>-sum(25,39.6,14.16,31.15,56.62)</f>
        <v>-166.53</v>
      </c>
      <c r="I328" s="27">
        <v>-14.08</v>
      </c>
      <c r="J328" s="19"/>
      <c r="K328" s="27"/>
      <c r="L328" s="27">
        <v>-88.06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26">
        <v>45241.0</v>
      </c>
      <c r="B329" s="19"/>
      <c r="C329" s="27"/>
      <c r="D329" s="19"/>
      <c r="E329" s="27"/>
      <c r="F329" s="27">
        <v>-1177.0</v>
      </c>
      <c r="G329" s="27"/>
      <c r="H329" s="19"/>
      <c r="I329" s="27"/>
      <c r="J329" s="19"/>
      <c r="K329" s="27">
        <v>-500.0</v>
      </c>
      <c r="L329" s="2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26">
        <v>45242.0</v>
      </c>
      <c r="B330" s="19"/>
      <c r="C330" s="27"/>
      <c r="D330" s="19"/>
      <c r="E330" s="19"/>
      <c r="F330" s="27"/>
      <c r="G330" s="27">
        <v>-4.49</v>
      </c>
      <c r="H330" s="19">
        <f>-sum(8,60,16.99,99,28,15,3.54,26.36)</f>
        <v>-256.89</v>
      </c>
      <c r="I330" s="19">
        <f>-sum(4,10,1.7)</f>
        <v>-15.7</v>
      </c>
      <c r="J330" s="19"/>
      <c r="K330" s="27"/>
      <c r="L330" s="2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26">
        <v>45243.0</v>
      </c>
      <c r="B331" s="19"/>
      <c r="C331" s="27"/>
      <c r="D331" s="19"/>
      <c r="E331" s="27"/>
      <c r="F331" s="19"/>
      <c r="G331" s="27">
        <f>-sum(482.85,33.84)</f>
        <v>-516.69</v>
      </c>
      <c r="H331" s="27">
        <v>-60.0</v>
      </c>
      <c r="I331" s="27"/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26">
        <v>45244.0</v>
      </c>
      <c r="B332" s="19"/>
      <c r="C332" s="27"/>
      <c r="D332" s="19"/>
      <c r="E332" s="27">
        <v>-3.5</v>
      </c>
      <c r="F332" s="27">
        <v>-237.95</v>
      </c>
      <c r="G332" s="27">
        <v>4.0</v>
      </c>
      <c r="H332" s="27"/>
      <c r="I332" s="19"/>
      <c r="J332" s="19"/>
      <c r="K332" s="19"/>
      <c r="L332" s="1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26">
        <v>45245.0</v>
      </c>
      <c r="B333" s="19"/>
      <c r="C333" s="27"/>
      <c r="D333" s="19"/>
      <c r="E333" s="27"/>
      <c r="F333" s="27">
        <v>-5.0</v>
      </c>
      <c r="G333" s="27"/>
      <c r="H333" s="27">
        <v>-50.99</v>
      </c>
      <c r="I333" s="27">
        <v>-13.8</v>
      </c>
      <c r="J333" s="19"/>
      <c r="K333" s="19"/>
      <c r="L333" s="1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26">
        <v>45246.0</v>
      </c>
      <c r="B334" s="19"/>
      <c r="C334" s="27"/>
      <c r="D334" s="19"/>
      <c r="E334" s="27"/>
      <c r="F334" s="27"/>
      <c r="G334" s="27"/>
      <c r="H334" s="27">
        <f>-sum(68.99,2.98)</f>
        <v>-71.97</v>
      </c>
      <c r="I334" s="27">
        <v>-9.2</v>
      </c>
      <c r="J334" s="19"/>
      <c r="K334" s="19"/>
      <c r="L334" s="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26">
        <v>45247.0</v>
      </c>
      <c r="B335" s="19"/>
      <c r="C335" s="27"/>
      <c r="D335" s="19"/>
      <c r="E335" s="27">
        <v>-20.0</v>
      </c>
      <c r="F335" s="27"/>
      <c r="G335" s="27">
        <v>-34.07</v>
      </c>
      <c r="H335" s="19">
        <f>-sum(135.76,8)</f>
        <v>-143.76</v>
      </c>
      <c r="I335" s="19">
        <f>-sum(4.55,15.9)</f>
        <v>-20.45</v>
      </c>
      <c r="J335" s="19"/>
      <c r="K335" s="19"/>
      <c r="L335" s="27">
        <v>-124.98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26">
        <v>45248.0</v>
      </c>
      <c r="B336" s="19"/>
      <c r="C336" s="27"/>
      <c r="D336" s="19"/>
      <c r="E336" s="27"/>
      <c r="F336" s="27"/>
      <c r="G336" s="19"/>
      <c r="H336" s="19">
        <f>-sum(107.43,-36.99,5.5)</f>
        <v>-75.94</v>
      </c>
      <c r="I336" s="19">
        <f>-sum(5.9)</f>
        <v>-5.9</v>
      </c>
      <c r="J336" s="19"/>
      <c r="K336" s="19"/>
      <c r="L336" s="2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26">
        <v>45249.0</v>
      </c>
      <c r="B337" s="19"/>
      <c r="C337" s="27"/>
      <c r="D337" s="19"/>
      <c r="E337" s="27"/>
      <c r="F337" s="27">
        <v>-200.0</v>
      </c>
      <c r="G337" s="27"/>
      <c r="H337" s="27">
        <f>-sum(80,17.99,12.8,23.99)</f>
        <v>-134.78</v>
      </c>
      <c r="I337" s="27">
        <v>-52.88</v>
      </c>
      <c r="J337" s="19"/>
      <c r="K337" s="19"/>
      <c r="L337" s="2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26">
        <v>45250.0</v>
      </c>
      <c r="B338" s="19"/>
      <c r="C338" s="27"/>
      <c r="D338" s="19"/>
      <c r="E338" s="27"/>
      <c r="F338" s="27">
        <v>200</v>
      </c>
      <c r="G338" s="19"/>
      <c r="H338" s="27"/>
      <c r="I338" s="19"/>
      <c r="J338" s="19"/>
      <c r="K338" s="19"/>
      <c r="L338" s="2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26">
        <v>45251.0</v>
      </c>
      <c r="B339" s="19"/>
      <c r="C339" s="27"/>
      <c r="D339" s="19"/>
      <c r="E339" s="27"/>
      <c r="F339" s="27"/>
      <c r="G339" s="27">
        <v>-1.02</v>
      </c>
      <c r="H339" s="19">
        <f>-sum(4.4,43.4)</f>
        <v>-47.8</v>
      </c>
      <c r="I339" s="27"/>
      <c r="J339" s="19"/>
      <c r="K339" s="19"/>
      <c r="L339" s="2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26">
        <v>45252.0</v>
      </c>
      <c r="B340" s="19"/>
      <c r="C340" s="27"/>
      <c r="D340" s="19"/>
      <c r="E340" s="19"/>
      <c r="F340" s="27"/>
      <c r="G340" s="27">
        <v>-40.03</v>
      </c>
      <c r="H340" s="27">
        <v>-1.8</v>
      </c>
      <c r="I340" s="27">
        <v>-12.0</v>
      </c>
      <c r="J340" s="19"/>
      <c r="K340" s="19"/>
      <c r="L340" s="1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26">
        <v>45253.0</v>
      </c>
      <c r="B341" s="19"/>
      <c r="C341" s="27"/>
      <c r="D341" s="19"/>
      <c r="E341" s="27"/>
      <c r="F341" s="27">
        <f>-sum(215,-21.35)</f>
        <v>-193.65</v>
      </c>
      <c r="G341" s="27">
        <v>-48.3</v>
      </c>
      <c r="H341" s="27">
        <f>-sum(43.84,30.55,31.45)</f>
        <v>-105.84</v>
      </c>
      <c r="I341" s="27">
        <v>-56.95</v>
      </c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26">
        <v>45254.0</v>
      </c>
      <c r="B342" s="19"/>
      <c r="C342" s="27"/>
      <c r="D342" s="19"/>
      <c r="E342" s="27"/>
      <c r="F342" s="27">
        <v>-71.05</v>
      </c>
      <c r="G342" s="27"/>
      <c r="H342" s="27">
        <f>-sum(62.35,23.4,1.49,36.73)</f>
        <v>-123.97</v>
      </c>
      <c r="I342" s="27">
        <f>-sum(4.5,12.5,16.27)</f>
        <v>-33.27</v>
      </c>
      <c r="J342" s="19"/>
      <c r="K342" s="19"/>
      <c r="L342" s="27">
        <v>-124.98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26">
        <v>45255.0</v>
      </c>
      <c r="B343" s="19"/>
      <c r="C343" s="27"/>
      <c r="D343" s="19"/>
      <c r="E343" s="19"/>
      <c r="F343" s="27">
        <f>-sum(550,56.1)</f>
        <v>-606.1</v>
      </c>
      <c r="G343" s="19"/>
      <c r="H343" s="27">
        <f>-sum(9.88,66.56)</f>
        <v>-76.44</v>
      </c>
      <c r="I343" s="19"/>
      <c r="J343" s="19"/>
      <c r="K343" s="19"/>
      <c r="L343" s="2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26">
        <v>45256.0</v>
      </c>
      <c r="B344" s="19"/>
      <c r="C344" s="27"/>
      <c r="D344" s="19"/>
      <c r="E344" s="27">
        <v>-3.0</v>
      </c>
      <c r="F344" s="27">
        <v>-29.8</v>
      </c>
      <c r="G344" s="27"/>
      <c r="H344" s="27">
        <v>-78.31</v>
      </c>
      <c r="I344" s="27">
        <v>-66.48</v>
      </c>
      <c r="J344" s="19"/>
      <c r="K344" s="19"/>
      <c r="L344" s="1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26">
        <v>45257.0</v>
      </c>
      <c r="B345" s="19"/>
      <c r="C345" s="27"/>
      <c r="D345" s="19"/>
      <c r="E345" s="27">
        <v>-876.9</v>
      </c>
      <c r="F345" s="19"/>
      <c r="G345" s="27">
        <v>-33.84</v>
      </c>
      <c r="H345" s="27">
        <v>-43.5</v>
      </c>
      <c r="I345" s="27">
        <v>-75.11</v>
      </c>
      <c r="J345" s="19"/>
      <c r="K345" s="19"/>
      <c r="L345" s="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26">
        <v>45258.0</v>
      </c>
      <c r="B346" s="19"/>
      <c r="C346" s="27"/>
      <c r="D346" s="19"/>
      <c r="E346" s="27">
        <v>-160.0</v>
      </c>
      <c r="F346" s="27">
        <v>-17.1</v>
      </c>
      <c r="G346" s="27"/>
      <c r="H346" s="27">
        <v>-10.8</v>
      </c>
      <c r="I346" s="19"/>
      <c r="J346" s="19"/>
      <c r="K346" s="19"/>
      <c r="L346" s="1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26">
        <v>45259.0</v>
      </c>
      <c r="B347" s="19"/>
      <c r="C347" s="27"/>
      <c r="D347" s="19"/>
      <c r="E347" s="27"/>
      <c r="F347" s="19"/>
      <c r="G347" s="27"/>
      <c r="H347" s="19"/>
      <c r="I347" s="27">
        <v>-29.8</v>
      </c>
      <c r="J347" s="19"/>
      <c r="K347" s="19"/>
      <c r="L347" s="1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26">
        <v>45260.0</v>
      </c>
      <c r="B348" s="19"/>
      <c r="C348" s="27"/>
      <c r="D348" s="19"/>
      <c r="E348" s="27"/>
      <c r="F348" s="19"/>
      <c r="G348" s="27">
        <v>-456.0</v>
      </c>
      <c r="H348" s="19">
        <f>-sum(27.2,40.25)</f>
        <v>-67.45</v>
      </c>
      <c r="I348" s="19"/>
      <c r="J348" s="19"/>
      <c r="K348" s="19"/>
      <c r="L348" s="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26">
        <v>45261.0</v>
      </c>
      <c r="B349" s="19"/>
      <c r="C349" s="27"/>
      <c r="D349" s="19"/>
      <c r="E349" s="19"/>
      <c r="F349" s="27">
        <v>-15.25</v>
      </c>
      <c r="G349" s="27"/>
      <c r="H349" s="19"/>
      <c r="I349" s="19"/>
      <c r="J349" s="19"/>
      <c r="K349" s="27"/>
      <c r="L349" s="27">
        <v>-124.98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26">
        <v>45262.0</v>
      </c>
      <c r="B350" s="19"/>
      <c r="C350" s="27"/>
      <c r="D350" s="19"/>
      <c r="E350" s="27"/>
      <c r="F350" s="27">
        <v>-14.97</v>
      </c>
      <c r="G350" s="27">
        <v>-9.99</v>
      </c>
      <c r="H350" s="27">
        <v>-36.5</v>
      </c>
      <c r="I350" s="27">
        <v>-4.6</v>
      </c>
      <c r="J350" s="19"/>
      <c r="K350" s="19"/>
      <c r="L350" s="2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26">
        <v>45263.0</v>
      </c>
      <c r="B351" s="19"/>
      <c r="C351" s="27"/>
      <c r="D351" s="19"/>
      <c r="E351" s="27">
        <v>-21.0</v>
      </c>
      <c r="F351" s="27">
        <v>-62.51</v>
      </c>
      <c r="G351" s="27"/>
      <c r="H351" s="27">
        <v>-227.89</v>
      </c>
      <c r="I351" s="27">
        <v>-71.35</v>
      </c>
      <c r="J351" s="19"/>
      <c r="K351" s="19"/>
      <c r="L351" s="1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26">
        <v>45264.0</v>
      </c>
      <c r="B352" s="19"/>
      <c r="C352" s="27"/>
      <c r="D352" s="19"/>
      <c r="E352" s="27"/>
      <c r="F352" s="27">
        <v>-325.0</v>
      </c>
      <c r="G352" s="19"/>
      <c r="H352" s="19">
        <f>-sum(20.4,14.5,0.4)</f>
        <v>-35.3</v>
      </c>
      <c r="I352" s="19"/>
      <c r="J352" s="19"/>
      <c r="K352" s="19"/>
      <c r="L352" s="1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26">
        <v>45265.0</v>
      </c>
      <c r="B353" s="19"/>
      <c r="C353" s="27"/>
      <c r="D353" s="19"/>
      <c r="E353" s="27">
        <v>-8.0</v>
      </c>
      <c r="F353" s="27">
        <v>-115.0</v>
      </c>
      <c r="G353" s="27">
        <f>-sum(29.17,32.93)</f>
        <v>-62.1</v>
      </c>
      <c r="H353" s="27">
        <v>-11.11</v>
      </c>
      <c r="I353" s="19"/>
      <c r="J353" s="19"/>
      <c r="K353" s="27">
        <v>-1000.0</v>
      </c>
      <c r="L353" s="2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26">
        <v>45266.0</v>
      </c>
      <c r="B354" s="19"/>
      <c r="C354" s="27"/>
      <c r="D354" s="19"/>
      <c r="E354" s="19"/>
      <c r="F354" s="27">
        <f>-sum(1000,12.95)</f>
        <v>-1012.95</v>
      </c>
      <c r="G354" s="27"/>
      <c r="H354" s="19">
        <f>-sum(4,18,20.74)</f>
        <v>-42.74</v>
      </c>
      <c r="I354" s="27">
        <v>-49.29</v>
      </c>
      <c r="J354" s="19"/>
      <c r="K354" s="19">
        <f>-sum(1385,744)</f>
        <v>-2129</v>
      </c>
      <c r="L354" s="1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26">
        <v>45267.0</v>
      </c>
      <c r="B355" s="19"/>
      <c r="C355" s="27"/>
      <c r="D355" s="19"/>
      <c r="E355" s="27"/>
      <c r="F355" s="27"/>
      <c r="G355" s="27">
        <v>-146.54</v>
      </c>
      <c r="H355" s="19"/>
      <c r="I355" s="27">
        <v>-4.6</v>
      </c>
      <c r="J355" s="19"/>
      <c r="K355" s="19"/>
      <c r="L355" s="1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26">
        <v>45268.0</v>
      </c>
      <c r="B356" s="19"/>
      <c r="C356" s="27"/>
      <c r="D356" s="19"/>
      <c r="E356" s="27"/>
      <c r="F356" s="19"/>
      <c r="G356" s="27">
        <v>-48.3</v>
      </c>
      <c r="H356" s="19"/>
      <c r="I356" s="19"/>
      <c r="J356" s="19"/>
      <c r="K356" s="19"/>
      <c r="L356" s="27">
        <v>-101.35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26">
        <v>45269.0</v>
      </c>
      <c r="B357" s="19"/>
      <c r="C357" s="27"/>
      <c r="D357" s="19"/>
      <c r="E357" s="27"/>
      <c r="F357" s="27"/>
      <c r="G357" s="27"/>
      <c r="H357" s="19"/>
      <c r="I357" s="19"/>
      <c r="J357" s="19"/>
      <c r="K357" s="27"/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26">
        <v>45270.0</v>
      </c>
      <c r="B358" s="19"/>
      <c r="C358" s="27"/>
      <c r="D358" s="19"/>
      <c r="E358" s="27">
        <v>-20.0</v>
      </c>
      <c r="F358" s="19"/>
      <c r="G358" s="27">
        <v>-10.0</v>
      </c>
      <c r="H358" s="19"/>
      <c r="I358" s="27">
        <v>-10.0</v>
      </c>
      <c r="J358" s="19"/>
      <c r="K358" s="19"/>
      <c r="L358" s="1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26">
        <v>45271.0</v>
      </c>
      <c r="B359" s="19"/>
      <c r="C359" s="27"/>
      <c r="D359" s="19"/>
      <c r="E359" s="27">
        <v>-55.5</v>
      </c>
      <c r="F359" s="27">
        <f>-sum(50,30,-18.09,30)</f>
        <v>-91.91</v>
      </c>
      <c r="G359" s="27">
        <f>-sum(4,33.84)</f>
        <v>-37.84</v>
      </c>
      <c r="H359" s="19">
        <f>-sum(4.99,16,5.93,9.49,37.85,46.48)</f>
        <v>-120.74</v>
      </c>
      <c r="I359" s="27">
        <v>-36.54</v>
      </c>
      <c r="J359" s="19"/>
      <c r="K359" s="19"/>
      <c r="L359" s="1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26">
        <v>45272.0</v>
      </c>
      <c r="B360" s="19"/>
      <c r="C360" s="27"/>
      <c r="D360" s="19"/>
      <c r="E360" s="19"/>
      <c r="F360" s="19"/>
      <c r="G360" s="19"/>
      <c r="H360" s="27">
        <v>-16.23</v>
      </c>
      <c r="I360" s="19"/>
      <c r="J360" s="19"/>
      <c r="K360" s="19"/>
      <c r="L360" s="1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26">
        <v>45273.0</v>
      </c>
      <c r="B361" s="19"/>
      <c r="C361" s="27"/>
      <c r="D361" s="19"/>
      <c r="E361" s="27"/>
      <c r="F361" s="19"/>
      <c r="G361" s="27">
        <v>-4.49</v>
      </c>
      <c r="H361" s="19"/>
      <c r="I361" s="19"/>
      <c r="J361" s="19"/>
      <c r="K361" s="19"/>
      <c r="L361" s="1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26">
        <v>45274.0</v>
      </c>
      <c r="B362" s="19"/>
      <c r="C362" s="27"/>
      <c r="D362" s="19"/>
      <c r="E362" s="19"/>
      <c r="F362" s="27"/>
      <c r="G362" s="19"/>
      <c r="H362" s="27">
        <v>-49.6</v>
      </c>
      <c r="I362" s="27">
        <v>-35.52</v>
      </c>
      <c r="J362" s="19"/>
      <c r="K362" s="19"/>
      <c r="L362" s="1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26">
        <v>45275.0</v>
      </c>
      <c r="B363" s="19"/>
      <c r="C363" s="27"/>
      <c r="D363" s="19"/>
      <c r="E363" s="19"/>
      <c r="F363" s="27">
        <f>-sum(1000,100,85)</f>
        <v>-1185</v>
      </c>
      <c r="G363" s="19"/>
      <c r="H363" s="19"/>
      <c r="I363" s="19"/>
      <c r="J363" s="19"/>
      <c r="K363" s="19"/>
      <c r="L363" s="27">
        <v>-95.03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26">
        <v>45276.0</v>
      </c>
      <c r="B364" s="19"/>
      <c r="C364" s="27"/>
      <c r="D364" s="19"/>
      <c r="E364" s="19"/>
      <c r="F364" s="19"/>
      <c r="G364" s="19"/>
      <c r="H364" s="19"/>
      <c r="I364" s="19"/>
      <c r="J364" s="19"/>
      <c r="K364" s="19"/>
      <c r="L364" s="2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26">
        <v>45277.0</v>
      </c>
      <c r="B365" s="19"/>
      <c r="C365" s="27"/>
      <c r="D365" s="19"/>
      <c r="E365" s="19"/>
      <c r="F365" s="19"/>
      <c r="G365" s="19">
        <f>-sum(33.02,0.99)</f>
        <v>-34.01</v>
      </c>
      <c r="H365" s="19"/>
      <c r="I365" s="19"/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26">
        <v>45278.0</v>
      </c>
      <c r="B366" s="19"/>
      <c r="C366" s="27"/>
      <c r="D366" s="19"/>
      <c r="E366" s="19"/>
      <c r="F366" s="27">
        <v>-10.83</v>
      </c>
      <c r="G366" s="27">
        <v>-35.0</v>
      </c>
      <c r="H366" s="19">
        <f>-sum(25.27,48.06)</f>
        <v>-73.33</v>
      </c>
      <c r="I366" s="19"/>
      <c r="J366" s="19"/>
      <c r="K366" s="19"/>
      <c r="L366" s="1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26">
        <v>45279.0</v>
      </c>
      <c r="B367" s="19"/>
      <c r="C367" s="27"/>
      <c r="D367" s="19"/>
      <c r="E367" s="27">
        <v>-8.0</v>
      </c>
      <c r="F367" s="27">
        <v>-42.98</v>
      </c>
      <c r="G367" s="27">
        <v>-48.3</v>
      </c>
      <c r="H367" s="27">
        <v>-149.0</v>
      </c>
      <c r="I367" s="19"/>
      <c r="J367" s="19"/>
      <c r="K367" s="19"/>
      <c r="L367" s="2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26">
        <v>45280.0</v>
      </c>
      <c r="B368" s="19"/>
      <c r="C368" s="27"/>
      <c r="D368" s="19"/>
      <c r="E368" s="19"/>
      <c r="F368" s="27">
        <f>-sum(24.99,111.3,25)</f>
        <v>-161.29</v>
      </c>
      <c r="G368" s="19"/>
      <c r="H368" s="19">
        <f>-sum(7,11,21.95)</f>
        <v>-39.95</v>
      </c>
      <c r="I368" s="19">
        <f>-sum(9.9,7.8)</f>
        <v>-17.7</v>
      </c>
      <c r="J368" s="19"/>
      <c r="K368" s="19"/>
      <c r="L368" s="1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26">
        <v>45281.0</v>
      </c>
      <c r="B369" s="19"/>
      <c r="C369" s="27"/>
      <c r="D369" s="19"/>
      <c r="E369" s="27">
        <v>-48.18</v>
      </c>
      <c r="F369" s="19"/>
      <c r="G369" s="27"/>
      <c r="H369" s="27">
        <v>-57.98</v>
      </c>
      <c r="I369" s="19"/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26">
        <v>45282.0</v>
      </c>
      <c r="B370" s="19"/>
      <c r="C370" s="27"/>
      <c r="D370" s="19"/>
      <c r="E370" s="27"/>
      <c r="F370" s="27">
        <v>-98.0</v>
      </c>
      <c r="G370" s="27">
        <v>-40.03</v>
      </c>
      <c r="H370" s="19"/>
      <c r="I370" s="27">
        <v>-30.3</v>
      </c>
      <c r="J370" s="19"/>
      <c r="K370" s="19"/>
      <c r="L370" s="27">
        <v>-95.03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26">
        <v>45283.0</v>
      </c>
      <c r="B371" s="19"/>
      <c r="C371" s="27"/>
      <c r="D371" s="19"/>
      <c r="E371" s="19"/>
      <c r="F371" s="19"/>
      <c r="G371" s="19"/>
      <c r="H371" s="19">
        <f>-sum(8.68,9.2)</f>
        <v>-17.88</v>
      </c>
      <c r="I371" s="19"/>
      <c r="J371" s="19"/>
      <c r="K371" s="19"/>
      <c r="L371" s="1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26">
        <v>45284.0</v>
      </c>
      <c r="B372" s="19"/>
      <c r="C372" s="27"/>
      <c r="D372" s="19"/>
      <c r="E372" s="27">
        <v>-10.0</v>
      </c>
      <c r="F372" s="19"/>
      <c r="G372" s="19"/>
      <c r="H372" s="27">
        <v>-25.0</v>
      </c>
      <c r="I372" s="27">
        <v>-42.14</v>
      </c>
      <c r="J372" s="19"/>
      <c r="K372" s="19"/>
      <c r="L372" s="1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26">
        <v>45285.0</v>
      </c>
      <c r="B373" s="19"/>
      <c r="C373" s="27"/>
      <c r="D373" s="19"/>
      <c r="E373" s="27">
        <v>-50.0</v>
      </c>
      <c r="F373" s="19"/>
      <c r="G373" s="27">
        <v>-54.99</v>
      </c>
      <c r="H373" s="27"/>
      <c r="I373" s="19"/>
      <c r="J373" s="19"/>
      <c r="K373" s="19"/>
      <c r="L373" s="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26">
        <v>45286.0</v>
      </c>
      <c r="B374" s="19"/>
      <c r="C374" s="27"/>
      <c r="D374" s="19"/>
      <c r="E374" s="19"/>
      <c r="F374" s="27">
        <f>-sum(49.4,29.99)</f>
        <v>-79.39</v>
      </c>
      <c r="G374" s="19"/>
      <c r="H374" s="19"/>
      <c r="I374" s="19"/>
      <c r="J374" s="19"/>
      <c r="K374" s="19"/>
      <c r="L374" s="1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26">
        <v>45287.0</v>
      </c>
      <c r="B375" s="19"/>
      <c r="C375" s="27"/>
      <c r="D375" s="19"/>
      <c r="E375" s="27">
        <v>-2.5</v>
      </c>
      <c r="F375" s="19"/>
      <c r="G375" s="27">
        <v>-33.84</v>
      </c>
      <c r="H375" s="27">
        <f>-sum(15.25,22.9,22.65,35.65)</f>
        <v>-96.45</v>
      </c>
      <c r="I375" s="27">
        <v>-49.83</v>
      </c>
      <c r="J375" s="19"/>
      <c r="K375" s="27"/>
      <c r="L375" s="2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26">
        <v>45288.0</v>
      </c>
      <c r="B376" s="19"/>
      <c r="C376" s="27"/>
      <c r="D376" s="19"/>
      <c r="E376" s="19"/>
      <c r="F376" s="19">
        <f>-sum(85,6.99,72.05)</f>
        <v>-164.04</v>
      </c>
      <c r="G376" s="19"/>
      <c r="H376" s="19">
        <f>-sum(4.5,24.1)</f>
        <v>-28.6</v>
      </c>
      <c r="I376" s="19"/>
      <c r="J376" s="27"/>
      <c r="K376" s="27"/>
      <c r="L376" s="1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26">
        <v>45289.0</v>
      </c>
      <c r="B377" s="19"/>
      <c r="C377" s="27"/>
      <c r="D377" s="19"/>
      <c r="E377" s="19"/>
      <c r="F377" s="27">
        <v>-380.0</v>
      </c>
      <c r="G377" s="19"/>
      <c r="H377" s="27">
        <v>-22.9</v>
      </c>
      <c r="I377" s="27">
        <v>-27.35</v>
      </c>
      <c r="J377" s="19"/>
      <c r="K377" s="19"/>
      <c r="L377" s="27">
        <v>-63.35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26">
        <v>45290.0</v>
      </c>
      <c r="B378" s="19"/>
      <c r="C378" s="27"/>
      <c r="D378" s="19"/>
      <c r="E378" s="19"/>
      <c r="F378" s="27">
        <v>-62.93</v>
      </c>
      <c r="G378" s="19"/>
      <c r="H378" s="19"/>
      <c r="I378" s="19"/>
      <c r="J378" s="19"/>
      <c r="K378" s="19"/>
      <c r="L378" s="1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26">
        <v>45291.0</v>
      </c>
      <c r="B379" s="19"/>
      <c r="C379" s="27"/>
      <c r="D379" s="19"/>
      <c r="E379" s="27"/>
      <c r="F379" s="19"/>
      <c r="G379" s="19"/>
      <c r="H379" s="19"/>
      <c r="I379" s="19"/>
      <c r="J379" s="27">
        <v>-20000.0</v>
      </c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26"/>
      <c r="B380" s="19"/>
      <c r="C380" s="19"/>
      <c r="D380" s="19"/>
      <c r="E380" s="19"/>
      <c r="F380" s="19"/>
      <c r="G380" s="19"/>
      <c r="H380" s="19"/>
      <c r="I380" s="19"/>
      <c r="J380" s="19"/>
      <c r="K380" s="27"/>
      <c r="L380" s="1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</sheetData>
  <mergeCells count="2">
    <mergeCell ref="O52:O54"/>
    <mergeCell ref="O57:O59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5"/>
    </row>
    <row r="2">
      <c r="A2" s="36"/>
      <c r="B2" s="37">
        <f t="shared" ref="B2:E2" si="1">sum(B3:B1000)</f>
        <v>620.32</v>
      </c>
      <c r="C2" s="37">
        <f t="shared" si="1"/>
        <v>170565.1</v>
      </c>
      <c r="D2" s="37">
        <f t="shared" si="1"/>
        <v>51723.57</v>
      </c>
      <c r="E2" s="37">
        <f t="shared" si="1"/>
        <v>18954.23</v>
      </c>
      <c r="F2" s="24"/>
    </row>
    <row r="3">
      <c r="A3" s="29" t="s">
        <v>17</v>
      </c>
      <c r="B3" s="27"/>
      <c r="C3" s="27">
        <f t="shared" ref="C3:C5" si="2">2677.26*2</f>
        <v>5354.52</v>
      </c>
      <c r="D3" s="27">
        <f>sum(1886.39,2125.84,1798.63)</f>
        <v>5810.86</v>
      </c>
      <c r="E3" s="27">
        <f>sum(342.06*3,154.57*3)</f>
        <v>1489.89</v>
      </c>
      <c r="F3" s="19">
        <f t="shared" ref="F3:F14" si="3">sum(B3:E3)</f>
        <v>12655.27</v>
      </c>
    </row>
    <row r="4">
      <c r="A4" s="29" t="s">
        <v>29</v>
      </c>
      <c r="B4" s="27"/>
      <c r="C4" s="27">
        <f t="shared" si="2"/>
        <v>5354.52</v>
      </c>
      <c r="D4" s="27">
        <f>sum(2718.3)</f>
        <v>2718.3</v>
      </c>
      <c r="E4" s="27">
        <f>sum(342.06,154.57)</f>
        <v>496.63</v>
      </c>
      <c r="F4" s="19">
        <f t="shared" si="3"/>
        <v>8569.45</v>
      </c>
    </row>
    <row r="5">
      <c r="A5" s="29" t="s">
        <v>19</v>
      </c>
      <c r="B5" s="27"/>
      <c r="C5" s="27">
        <f t="shared" si="2"/>
        <v>5354.52</v>
      </c>
      <c r="D5" s="19">
        <f>sum(1624.89,1806.27,1846.09)</f>
        <v>5277.25</v>
      </c>
      <c r="E5" s="27">
        <f>sum(342.06*3,154.57*2)</f>
        <v>1335.32</v>
      </c>
      <c r="F5" s="19">
        <f t="shared" si="3"/>
        <v>11967.09</v>
      </c>
    </row>
    <row r="6">
      <c r="A6" s="29" t="s">
        <v>20</v>
      </c>
      <c r="B6" s="27">
        <v>0.5</v>
      </c>
      <c r="C6" s="27">
        <f>sum(2718.98,2722.06)</f>
        <v>5441.04</v>
      </c>
      <c r="D6" s="19">
        <f>sum(73.6,2590.06)</f>
        <v>2663.66</v>
      </c>
      <c r="E6" s="27">
        <f>sum(3900,2942.64)</f>
        <v>6842.64</v>
      </c>
      <c r="F6" s="19">
        <f t="shared" si="3"/>
        <v>14947.84</v>
      </c>
    </row>
    <row r="7">
      <c r="A7" s="29" t="s">
        <v>21</v>
      </c>
      <c r="B7" s="27">
        <v>23.63</v>
      </c>
      <c r="C7" s="27">
        <f>2722.06*3</f>
        <v>8166.18</v>
      </c>
      <c r="D7" s="27">
        <f>sum(1771.51,1916,1741.04)</f>
        <v>5428.55</v>
      </c>
      <c r="E7" s="27">
        <f>sum(375.41*2,155.41,110.4)</f>
        <v>1016.63</v>
      </c>
      <c r="F7" s="19">
        <f t="shared" si="3"/>
        <v>14634.99</v>
      </c>
    </row>
    <row r="8">
      <c r="A8" s="29" t="s">
        <v>22</v>
      </c>
      <c r="B8" s="27">
        <f>sum(49.69,0.48)</f>
        <v>50.17</v>
      </c>
      <c r="C8" s="27">
        <f t="shared" ref="C8:C11" si="4">2794.07*2</f>
        <v>5588.14</v>
      </c>
      <c r="D8" s="27">
        <f>sum(2113.91,2142.78)</f>
        <v>4256.69</v>
      </c>
      <c r="E8" s="27">
        <f>sum(110.41*3,375.41*3)</f>
        <v>1457.46</v>
      </c>
      <c r="F8" s="19">
        <f t="shared" si="3"/>
        <v>11352.46</v>
      </c>
    </row>
    <row r="9">
      <c r="A9" s="29" t="s">
        <v>23</v>
      </c>
      <c r="B9" s="27">
        <f>sum(61.09,0.57)</f>
        <v>61.66</v>
      </c>
      <c r="C9" s="27">
        <f t="shared" si="4"/>
        <v>5588.14</v>
      </c>
      <c r="D9" s="27">
        <f>sum(1888.3,1867.24)</f>
        <v>3755.54</v>
      </c>
      <c r="E9" s="19">
        <f t="shared" ref="E9:E12" si="5">sum(375.41*2,110.41*2)</f>
        <v>971.64</v>
      </c>
      <c r="F9" s="19">
        <f t="shared" si="3"/>
        <v>10376.98</v>
      </c>
    </row>
    <row r="10">
      <c r="A10" s="29" t="s">
        <v>24</v>
      </c>
      <c r="B10" s="27">
        <f>sum(70.12,0.64)</f>
        <v>70.76</v>
      </c>
      <c r="C10" s="19">
        <f t="shared" si="4"/>
        <v>5588.14</v>
      </c>
      <c r="D10" s="27">
        <f>sum(2211.12,1994.87)</f>
        <v>4205.99</v>
      </c>
      <c r="E10" s="27">
        <f t="shared" si="5"/>
        <v>971.64</v>
      </c>
      <c r="F10" s="19">
        <f t="shared" si="3"/>
        <v>10836.53</v>
      </c>
    </row>
    <row r="11">
      <c r="A11" s="29" t="s">
        <v>25</v>
      </c>
      <c r="B11" s="27">
        <v>79.92</v>
      </c>
      <c r="C11" s="27">
        <f t="shared" si="4"/>
        <v>5588.14</v>
      </c>
      <c r="D11" s="27">
        <f>sum(2266.96,1595.16)</f>
        <v>3862.12</v>
      </c>
      <c r="E11" s="27">
        <f t="shared" si="5"/>
        <v>971.64</v>
      </c>
      <c r="F11" s="19">
        <f t="shared" si="3"/>
        <v>10501.82</v>
      </c>
    </row>
    <row r="12">
      <c r="A12" s="29" t="s">
        <v>26</v>
      </c>
      <c r="B12" s="27">
        <v>93.59</v>
      </c>
      <c r="C12" s="19">
        <f>3043.41*2</f>
        <v>6086.82</v>
      </c>
      <c r="D12" s="19">
        <f>sum(2116.97,1763.23)</f>
        <v>3880.2</v>
      </c>
      <c r="E12" s="27">
        <f t="shared" si="5"/>
        <v>971.64</v>
      </c>
      <c r="F12" s="19">
        <f t="shared" si="3"/>
        <v>11032.25</v>
      </c>
    </row>
    <row r="13">
      <c r="A13" s="29" t="s">
        <v>27</v>
      </c>
      <c r="B13" s="27">
        <v>115.98</v>
      </c>
      <c r="C13" s="19">
        <f>3041.43*2+3940.7</f>
        <v>10023.56</v>
      </c>
      <c r="D13" s="27">
        <f>sum(1790.93,2240.98,1841.82)</f>
        <v>5873.73</v>
      </c>
      <c r="E13" s="27">
        <f>sum(375.41*3,110.41*3)</f>
        <v>1457.46</v>
      </c>
      <c r="F13" s="19">
        <f t="shared" si="3"/>
        <v>17470.73</v>
      </c>
    </row>
    <row r="14">
      <c r="A14" s="29" t="s">
        <v>28</v>
      </c>
      <c r="B14" s="27">
        <f>sum(122.96,1.15)</f>
        <v>124.11</v>
      </c>
      <c r="C14" s="27">
        <f>sum(2776.47,2240.59)</f>
        <v>5017.06</v>
      </c>
      <c r="D14" s="27">
        <f>sum(2124,1866.68)</f>
        <v>3990.68</v>
      </c>
      <c r="E14" s="27">
        <f>sum(375.41*2,110.41*2)</f>
        <v>971.64</v>
      </c>
      <c r="F14" s="19">
        <f t="shared" si="3"/>
        <v>10103.49</v>
      </c>
    </row>
    <row r="17">
      <c r="C17">
        <f>sum(3708.07*6+4089.41*4+5520.7+3680.47+2862.59+4089*11+882.75*2)</f>
        <v>97414.32</v>
      </c>
      <c r="D17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1" max="11" width="9.13"/>
    <col customWidth="1" min="12" max="12" width="9.88"/>
    <col customWidth="1" min="14" max="14" width="14.13"/>
  </cols>
  <sheetData>
    <row r="1" ht="18.0" customHeight="1">
      <c r="A1" s="40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/>
      <c r="N1" s="7"/>
      <c r="O1" s="8"/>
      <c r="P1" s="8"/>
      <c r="Q1" s="8"/>
      <c r="R1" s="7"/>
      <c r="S1" s="7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41"/>
      <c r="B2" s="10">
        <f t="shared" ref="B2:B14" si="2">SUM(E2:L2)</f>
        <v>-109743.72</v>
      </c>
      <c r="C2" s="11">
        <f>SUM(C3:C14)</f>
        <v>134817.67</v>
      </c>
      <c r="D2" s="12">
        <f t="shared" ref="D2:D14" si="3">SUM(B2,C2)</f>
        <v>25073.95</v>
      </c>
      <c r="E2" s="13">
        <f t="shared" ref="E2:L2" si="1">SUM(E15:E1014)</f>
        <v>-1739.21</v>
      </c>
      <c r="F2" s="13">
        <f t="shared" si="1"/>
        <v>-24361.52</v>
      </c>
      <c r="G2" s="13">
        <f t="shared" si="1"/>
        <v>-14890.06</v>
      </c>
      <c r="H2" s="13">
        <f t="shared" si="1"/>
        <v>-8937.41</v>
      </c>
      <c r="I2" s="13">
        <f t="shared" si="1"/>
        <v>-4814.67</v>
      </c>
      <c r="J2" s="13">
        <f t="shared" si="1"/>
        <v>-26545</v>
      </c>
      <c r="K2" s="13">
        <f t="shared" si="1"/>
        <v>-24340</v>
      </c>
      <c r="L2" s="14">
        <f t="shared" si="1"/>
        <v>-4115.85</v>
      </c>
      <c r="M2" s="15"/>
      <c r="N2" s="15"/>
      <c r="O2" s="8"/>
      <c r="P2" s="8"/>
      <c r="Q2" s="8"/>
      <c r="R2" s="16"/>
      <c r="S2" s="16"/>
      <c r="T2" s="1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17">
        <v>44562.0</v>
      </c>
      <c r="B3" s="10">
        <f t="shared" si="2"/>
        <v>-5045.13</v>
      </c>
      <c r="C3" s="18">
        <f>'2022_income'!F3</f>
        <v>10557.88</v>
      </c>
      <c r="D3" s="12">
        <f t="shared" si="3"/>
        <v>5512.75</v>
      </c>
      <c r="E3" s="19">
        <f t="shared" ref="E3:L3" si="4">sum(E15:E45)</f>
        <v>-338.45</v>
      </c>
      <c r="F3" s="19">
        <f t="shared" si="4"/>
        <v>-813.08</v>
      </c>
      <c r="G3" s="19">
        <f t="shared" si="4"/>
        <v>-201.19</v>
      </c>
      <c r="H3" s="19">
        <f t="shared" si="4"/>
        <v>-1230.37</v>
      </c>
      <c r="I3" s="19">
        <f t="shared" si="4"/>
        <v>-350.93</v>
      </c>
      <c r="J3" s="19">
        <f t="shared" si="4"/>
        <v>0</v>
      </c>
      <c r="K3" s="19">
        <f t="shared" si="4"/>
        <v>-1883</v>
      </c>
      <c r="L3" s="20">
        <f t="shared" si="4"/>
        <v>-228.11</v>
      </c>
      <c r="M3" s="28"/>
      <c r="N3" s="2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17">
        <v>44593.0</v>
      </c>
      <c r="B4" s="10">
        <f t="shared" si="2"/>
        <v>-4644.96</v>
      </c>
      <c r="C4" s="18">
        <f>'2022_income'!F4</f>
        <v>8373.77</v>
      </c>
      <c r="D4" s="12">
        <f t="shared" si="3"/>
        <v>3728.81</v>
      </c>
      <c r="E4" s="19">
        <f t="shared" ref="E4:L4" si="5">SUM(E46:E73)</f>
        <v>-384.43</v>
      </c>
      <c r="F4" s="19">
        <f t="shared" si="5"/>
        <v>-434.69</v>
      </c>
      <c r="G4" s="19">
        <f t="shared" si="5"/>
        <v>-385.33</v>
      </c>
      <c r="H4" s="19">
        <f t="shared" si="5"/>
        <v>-988.27</v>
      </c>
      <c r="I4" s="19">
        <f t="shared" si="5"/>
        <v>-365.68</v>
      </c>
      <c r="J4" s="19">
        <f t="shared" si="5"/>
        <v>0</v>
      </c>
      <c r="K4" s="19">
        <f t="shared" si="5"/>
        <v>-1883</v>
      </c>
      <c r="L4" s="20">
        <f t="shared" si="5"/>
        <v>-203.56</v>
      </c>
      <c r="M4" s="28"/>
      <c r="N4" s="2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7">
        <v>44621.0</v>
      </c>
      <c r="B5" s="10">
        <f t="shared" si="2"/>
        <v>-7774.84</v>
      </c>
      <c r="C5" s="18">
        <f>'2022_income'!F5</f>
        <v>11850.93</v>
      </c>
      <c r="D5" s="12">
        <f t="shared" si="3"/>
        <v>4076.09</v>
      </c>
      <c r="E5" s="19">
        <f t="shared" ref="E5:L5" si="6">sum(E74:E104)</f>
        <v>-414.24</v>
      </c>
      <c r="F5" s="19">
        <f t="shared" si="6"/>
        <v>-1665.07</v>
      </c>
      <c r="G5" s="19">
        <f t="shared" si="6"/>
        <v>-1864.71</v>
      </c>
      <c r="H5" s="19">
        <f t="shared" si="6"/>
        <v>-1151.24</v>
      </c>
      <c r="I5" s="19">
        <f t="shared" si="6"/>
        <v>-507.76</v>
      </c>
      <c r="J5" s="19">
        <f t="shared" si="6"/>
        <v>0</v>
      </c>
      <c r="K5" s="19">
        <f t="shared" si="6"/>
        <v>-1889</v>
      </c>
      <c r="L5" s="20">
        <f t="shared" si="6"/>
        <v>-282.82</v>
      </c>
      <c r="M5" s="28"/>
      <c r="N5" s="21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17">
        <v>44652.0</v>
      </c>
      <c r="B6" s="10">
        <f t="shared" si="2"/>
        <v>-5793.35</v>
      </c>
      <c r="C6" s="18">
        <f>'2022_income'!F6</f>
        <v>9846.13</v>
      </c>
      <c r="D6" s="12">
        <f t="shared" si="3"/>
        <v>4052.78</v>
      </c>
      <c r="E6" s="19">
        <f t="shared" ref="E6:L6" si="7">sum(E105:E134)</f>
        <v>-112.65</v>
      </c>
      <c r="F6" s="19">
        <f t="shared" si="7"/>
        <v>-1657.91</v>
      </c>
      <c r="G6" s="19">
        <f t="shared" si="7"/>
        <v>-439.93</v>
      </c>
      <c r="H6" s="19">
        <f t="shared" si="7"/>
        <v>-696.43</v>
      </c>
      <c r="I6" s="19">
        <f t="shared" si="7"/>
        <v>-786.23</v>
      </c>
      <c r="J6" s="19">
        <f t="shared" si="7"/>
        <v>0</v>
      </c>
      <c r="K6" s="19">
        <f t="shared" si="7"/>
        <v>-1889</v>
      </c>
      <c r="L6" s="20">
        <f t="shared" si="7"/>
        <v>-211.2</v>
      </c>
      <c r="M6" s="28"/>
      <c r="N6" s="21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17">
        <v>44682.0</v>
      </c>
      <c r="B7" s="10">
        <f t="shared" si="2"/>
        <v>-4398.68</v>
      </c>
      <c r="C7" s="18">
        <f>'2022_income'!F7</f>
        <v>9554.11</v>
      </c>
      <c r="D7" s="12">
        <f t="shared" si="3"/>
        <v>5155.43</v>
      </c>
      <c r="E7" s="19">
        <f t="shared" ref="E7:L7" si="8">sum(E135:E165)</f>
        <v>-20</v>
      </c>
      <c r="F7" s="19">
        <f t="shared" si="8"/>
        <v>-442.93</v>
      </c>
      <c r="G7" s="19">
        <f t="shared" si="8"/>
        <v>-864.25</v>
      </c>
      <c r="H7" s="19">
        <f t="shared" si="8"/>
        <v>-452.94</v>
      </c>
      <c r="I7" s="19">
        <f t="shared" si="8"/>
        <v>-518.36</v>
      </c>
      <c r="J7" s="19">
        <f t="shared" si="8"/>
        <v>0</v>
      </c>
      <c r="K7" s="19">
        <f t="shared" si="8"/>
        <v>-1889</v>
      </c>
      <c r="L7" s="20">
        <f t="shared" si="8"/>
        <v>-211.2</v>
      </c>
      <c r="M7" s="28"/>
      <c r="N7" s="2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7">
        <v>44713.0</v>
      </c>
      <c r="B8" s="10">
        <f t="shared" si="2"/>
        <v>-9688.97</v>
      </c>
      <c r="C8" s="18">
        <f>'2022_income'!F8</f>
        <v>12136.95</v>
      </c>
      <c r="D8" s="12">
        <f t="shared" si="3"/>
        <v>2447.98</v>
      </c>
      <c r="E8" s="19">
        <f t="shared" ref="E8:L8" si="9">sum(E166:E195)</f>
        <v>-78.75</v>
      </c>
      <c r="F8" s="19">
        <f t="shared" si="9"/>
        <v>-6685.75</v>
      </c>
      <c r="G8" s="19">
        <f t="shared" si="9"/>
        <v>-343.97</v>
      </c>
      <c r="H8" s="19">
        <f t="shared" si="9"/>
        <v>-418.28</v>
      </c>
      <c r="I8" s="19">
        <f t="shared" si="9"/>
        <v>-62.02</v>
      </c>
      <c r="J8" s="19">
        <f t="shared" si="9"/>
        <v>0</v>
      </c>
      <c r="K8" s="19">
        <f t="shared" si="9"/>
        <v>-1889</v>
      </c>
      <c r="L8" s="20">
        <f t="shared" si="9"/>
        <v>-211.2</v>
      </c>
      <c r="M8" s="28"/>
      <c r="N8" s="21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17">
        <v>44743.0</v>
      </c>
      <c r="B9" s="10">
        <f t="shared" si="2"/>
        <v>-22955.03</v>
      </c>
      <c r="C9" s="18">
        <f>'2022_income'!F9</f>
        <v>18385.52</v>
      </c>
      <c r="D9" s="12">
        <f t="shared" si="3"/>
        <v>-4569.51</v>
      </c>
      <c r="E9" s="19">
        <f t="shared" ref="E9:L9" si="10">sum(E196:E226)</f>
        <v>-67.6</v>
      </c>
      <c r="F9" s="19">
        <f t="shared" si="10"/>
        <v>-1156.13</v>
      </c>
      <c r="G9" s="19">
        <f t="shared" si="10"/>
        <v>-3675.52</v>
      </c>
      <c r="H9" s="19">
        <f t="shared" si="10"/>
        <v>-593.64</v>
      </c>
      <c r="I9" s="19">
        <f t="shared" si="10"/>
        <v>-281.94</v>
      </c>
      <c r="J9" s="19">
        <f t="shared" si="10"/>
        <v>-14545</v>
      </c>
      <c r="K9" s="19">
        <f t="shared" si="10"/>
        <v>-2284</v>
      </c>
      <c r="L9" s="20">
        <f t="shared" si="10"/>
        <v>-351.2</v>
      </c>
      <c r="M9" s="28"/>
      <c r="N9" s="2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17">
        <v>44774.0</v>
      </c>
      <c r="B10" s="10">
        <f t="shared" si="2"/>
        <v>-11976.91</v>
      </c>
      <c r="C10" s="18">
        <f>'2022_income'!F10</f>
        <v>12238.99</v>
      </c>
      <c r="D10" s="12">
        <f t="shared" si="3"/>
        <v>262.08</v>
      </c>
      <c r="E10" s="19">
        <f t="shared" ref="E10:L10" si="11">sum(E227:E257)</f>
        <v>-62.64</v>
      </c>
      <c r="F10" s="19">
        <f t="shared" si="11"/>
        <v>-4501.84</v>
      </c>
      <c r="G10" s="19">
        <f t="shared" si="11"/>
        <v>-3723.01</v>
      </c>
      <c r="H10" s="19">
        <f t="shared" si="11"/>
        <v>-987.84</v>
      </c>
      <c r="I10" s="19">
        <f t="shared" si="11"/>
        <v>-367.14</v>
      </c>
      <c r="J10" s="19">
        <f t="shared" si="11"/>
        <v>0</v>
      </c>
      <c r="K10" s="19">
        <f t="shared" si="11"/>
        <v>-1889</v>
      </c>
      <c r="L10" s="20">
        <f t="shared" si="11"/>
        <v>-445.44</v>
      </c>
      <c r="M10" s="28"/>
      <c r="N10" s="21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7">
        <v>44805.0</v>
      </c>
      <c r="B11" s="10">
        <f t="shared" si="2"/>
        <v>-6346.19</v>
      </c>
      <c r="C11" s="18">
        <f>'2022_income'!F11</f>
        <v>9561.5</v>
      </c>
      <c r="D11" s="12">
        <f t="shared" si="3"/>
        <v>3215.31</v>
      </c>
      <c r="E11" s="19">
        <f t="shared" ref="E11:L11" si="12">SUM(E258:E287)</f>
        <v>-10</v>
      </c>
      <c r="F11" s="19">
        <f t="shared" si="12"/>
        <v>-1581.72</v>
      </c>
      <c r="G11" s="19">
        <f t="shared" si="12"/>
        <v>-673.74</v>
      </c>
      <c r="H11" s="19">
        <f t="shared" si="12"/>
        <v>-935.85</v>
      </c>
      <c r="I11" s="19">
        <f t="shared" si="12"/>
        <v>-570.97</v>
      </c>
      <c r="J11" s="19">
        <f t="shared" si="12"/>
        <v>0</v>
      </c>
      <c r="K11" s="19">
        <f t="shared" si="12"/>
        <v>-1935</v>
      </c>
      <c r="L11" s="20">
        <f t="shared" si="12"/>
        <v>-638.91</v>
      </c>
      <c r="M11" s="28"/>
      <c r="N11" s="2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17">
        <v>44835.0</v>
      </c>
      <c r="B12" s="10">
        <f t="shared" si="2"/>
        <v>-5861.75</v>
      </c>
      <c r="C12" s="18">
        <f>'2022_income'!F12</f>
        <v>10052.65</v>
      </c>
      <c r="D12" s="12">
        <f t="shared" si="3"/>
        <v>4190.9</v>
      </c>
      <c r="E12" s="19">
        <f t="shared" ref="E12:L12" si="13">SUM(E288:E318)</f>
        <v>-81.3</v>
      </c>
      <c r="F12" s="19">
        <f t="shared" si="13"/>
        <v>-1369.52</v>
      </c>
      <c r="G12" s="19">
        <f t="shared" si="13"/>
        <v>-905.01</v>
      </c>
      <c r="H12" s="19">
        <f t="shared" si="13"/>
        <v>-569.33</v>
      </c>
      <c r="I12" s="19">
        <f t="shared" si="13"/>
        <v>-497.18</v>
      </c>
      <c r="J12" s="19">
        <f t="shared" si="13"/>
        <v>0</v>
      </c>
      <c r="K12" s="19">
        <f t="shared" si="13"/>
        <v>-1935</v>
      </c>
      <c r="L12" s="20">
        <f t="shared" si="13"/>
        <v>-504.41</v>
      </c>
      <c r="M12" s="28"/>
      <c r="N12" s="2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17">
        <v>44866.0</v>
      </c>
      <c r="B13" s="10">
        <f t="shared" si="2"/>
        <v>-9053.85</v>
      </c>
      <c r="C13" s="18">
        <f>'2022_income'!F13</f>
        <v>12852</v>
      </c>
      <c r="D13" s="12">
        <f t="shared" si="3"/>
        <v>3798.15</v>
      </c>
      <c r="E13" s="19">
        <f t="shared" ref="E13:L13" si="14">SUM(E319:E348)</f>
        <v>-49.15</v>
      </c>
      <c r="F13" s="19">
        <f t="shared" si="14"/>
        <v>-2942.42</v>
      </c>
      <c r="G13" s="19">
        <f t="shared" si="14"/>
        <v>-964.37</v>
      </c>
      <c r="H13" s="19">
        <f t="shared" si="14"/>
        <v>-339.25</v>
      </c>
      <c r="I13" s="19">
        <f t="shared" si="14"/>
        <v>-392.26</v>
      </c>
      <c r="J13" s="19">
        <f t="shared" si="14"/>
        <v>-2000</v>
      </c>
      <c r="K13" s="19">
        <f t="shared" si="14"/>
        <v>-1935</v>
      </c>
      <c r="L13" s="20">
        <f t="shared" si="14"/>
        <v>-431.4</v>
      </c>
      <c r="M13" s="28"/>
      <c r="N13" s="2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7">
        <v>44896.0</v>
      </c>
      <c r="B14" s="10">
        <f t="shared" si="2"/>
        <v>-16204.06</v>
      </c>
      <c r="C14" s="18">
        <f>'2022_income'!F14</f>
        <v>9407.24</v>
      </c>
      <c r="D14" s="23">
        <f t="shared" si="3"/>
        <v>-6796.82</v>
      </c>
      <c r="E14" s="24">
        <f t="shared" ref="E14:L14" si="15">SUM(E349:E379)</f>
        <v>-120</v>
      </c>
      <c r="F14" s="24">
        <f t="shared" si="15"/>
        <v>-1110.46</v>
      </c>
      <c r="G14" s="24">
        <f t="shared" si="15"/>
        <v>-849.03</v>
      </c>
      <c r="H14" s="24">
        <f t="shared" si="15"/>
        <v>-573.97</v>
      </c>
      <c r="I14" s="24">
        <f t="shared" si="15"/>
        <v>-114.2</v>
      </c>
      <c r="J14" s="24">
        <f t="shared" si="15"/>
        <v>-10000</v>
      </c>
      <c r="K14" s="24">
        <f t="shared" si="15"/>
        <v>-3040</v>
      </c>
      <c r="L14" s="25">
        <f t="shared" si="15"/>
        <v>-396.4</v>
      </c>
      <c r="M14" s="28"/>
      <c r="N14" s="2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6">
        <v>44562.0</v>
      </c>
      <c r="B15" s="19"/>
      <c r="C15" s="27"/>
      <c r="D15" s="19"/>
      <c r="E15" s="27">
        <v>-5.0</v>
      </c>
      <c r="F15" s="27">
        <f>-sum(15,17.97,50.64)</f>
        <v>-83.61</v>
      </c>
      <c r="G15" s="27"/>
      <c r="H15" s="19"/>
      <c r="I15" s="27">
        <v>-27.2</v>
      </c>
      <c r="J15" s="19"/>
      <c r="K15" s="19"/>
      <c r="L15" s="19"/>
      <c r="M15" s="28"/>
      <c r="N15" s="2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6">
        <v>44563.0</v>
      </c>
      <c r="B16" s="19"/>
      <c r="C16" s="27"/>
      <c r="D16" s="19"/>
      <c r="E16" s="19"/>
      <c r="F16" s="27">
        <f>-sum(17.97,50.64)</f>
        <v>-68.61</v>
      </c>
      <c r="G16" s="19"/>
      <c r="H16" s="19">
        <f>-sum(35.75)</f>
        <v>-35.75</v>
      </c>
      <c r="I16" s="19">
        <f>-sum(9.9,27.2)</f>
        <v>-37.1</v>
      </c>
      <c r="J16" s="19"/>
      <c r="K16" s="19"/>
      <c r="L16" s="19"/>
      <c r="M16" s="28"/>
      <c r="N16" s="2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26">
        <v>44564.0</v>
      </c>
      <c r="B17" s="27"/>
      <c r="C17" s="27"/>
      <c r="D17" s="19"/>
      <c r="E17" s="27"/>
      <c r="F17" s="27"/>
      <c r="G17" s="19"/>
      <c r="H17" s="19">
        <f>-sum(4.5,32.55,20.56)</f>
        <v>-57.61</v>
      </c>
      <c r="I17" s="27">
        <v>-12.45</v>
      </c>
      <c r="J17" s="19"/>
      <c r="K17" s="27"/>
      <c r="L17" s="19"/>
      <c r="M17" s="28"/>
      <c r="N17" s="21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26">
        <v>44565.0</v>
      </c>
      <c r="B18" s="27"/>
      <c r="C18" s="27"/>
      <c r="D18" s="19"/>
      <c r="E18" s="27">
        <v>-39.48</v>
      </c>
      <c r="F18" s="27">
        <f>-sum(44.09)</f>
        <v>-44.09</v>
      </c>
      <c r="G18" s="27"/>
      <c r="H18" s="19"/>
      <c r="I18" s="19"/>
      <c r="J18" s="19"/>
      <c r="K18" s="19"/>
      <c r="L18" s="19"/>
      <c r="M18" s="28"/>
      <c r="N18" s="21"/>
      <c r="O18" s="2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26">
        <v>44566.0</v>
      </c>
      <c r="B19" s="27"/>
      <c r="C19" s="27"/>
      <c r="D19" s="19"/>
      <c r="E19" s="27"/>
      <c r="F19" s="27">
        <v>-25.6</v>
      </c>
      <c r="G19" s="27"/>
      <c r="H19" s="19">
        <f>-sum(12.21,13.5)</f>
        <v>-25.71</v>
      </c>
      <c r="I19" s="19"/>
      <c r="J19" s="19"/>
      <c r="K19" s="19"/>
      <c r="L19" s="19"/>
      <c r="M19" s="28"/>
      <c r="N19" s="21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26">
        <v>44567.0</v>
      </c>
      <c r="B20" s="27"/>
      <c r="C20" s="27"/>
      <c r="D20" s="19"/>
      <c r="E20" s="27">
        <v>-5.0</v>
      </c>
      <c r="F20" s="19">
        <f>-sum(9)</f>
        <v>-9</v>
      </c>
      <c r="G20" s="27">
        <v>-29.17</v>
      </c>
      <c r="H20" s="27">
        <f>-sum(31.44,28.42)</f>
        <v>-59.86</v>
      </c>
      <c r="I20" s="27">
        <f>-sum(29.8,8.6)</f>
        <v>-38.4</v>
      </c>
      <c r="J20" s="19"/>
      <c r="K20" s="19">
        <f>-sum(498,1385)</f>
        <v>-1883</v>
      </c>
      <c r="L20" s="19"/>
      <c r="M20" s="28"/>
      <c r="N20" s="21"/>
      <c r="O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26">
        <v>44568.0</v>
      </c>
      <c r="B21" s="27">
        <f>AVERAGE(B3:B7)</f>
        <v>-5531.392</v>
      </c>
      <c r="C21" s="27"/>
      <c r="D21" s="19"/>
      <c r="E21" s="27">
        <v>-44.17</v>
      </c>
      <c r="F21" s="27">
        <v>-26.5</v>
      </c>
      <c r="G21" s="19"/>
      <c r="H21" s="27">
        <v>-18.16</v>
      </c>
      <c r="I21" s="19"/>
      <c r="J21" s="19"/>
      <c r="K21" s="19"/>
      <c r="L21" s="27">
        <v>-41.0</v>
      </c>
      <c r="M21" s="28"/>
      <c r="N21" s="21"/>
      <c r="O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26">
        <v>44569.0</v>
      </c>
      <c r="B22" s="27"/>
      <c r="C22" s="27"/>
      <c r="D22" s="19"/>
      <c r="E22" s="27"/>
      <c r="F22" s="27"/>
      <c r="G22" s="27"/>
      <c r="H22" s="19">
        <f>-sum(2.6,13.73,11.2)</f>
        <v>-27.53</v>
      </c>
      <c r="I22" s="19">
        <f>-sum(14.72,42)</f>
        <v>-56.72</v>
      </c>
      <c r="J22" s="19"/>
      <c r="K22" s="19"/>
      <c r="L22" s="27"/>
      <c r="M22" s="28"/>
      <c r="N22" s="21"/>
      <c r="O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26">
        <v>44570.0</v>
      </c>
      <c r="B23" s="27"/>
      <c r="C23" s="27"/>
      <c r="D23" s="19"/>
      <c r="E23" s="27"/>
      <c r="F23" s="27">
        <f>-sum(29,22.99)</f>
        <v>-51.99</v>
      </c>
      <c r="G23" s="27"/>
      <c r="H23" s="19"/>
      <c r="I23" s="19">
        <f>-sum(40.4,9.9)</f>
        <v>-50.3</v>
      </c>
      <c r="J23" s="19"/>
      <c r="K23" s="19"/>
      <c r="L23" s="19"/>
      <c r="M23" s="28"/>
      <c r="N23" s="21"/>
      <c r="O23" s="2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26">
        <v>44571.0</v>
      </c>
      <c r="B24" s="27"/>
      <c r="C24" s="27"/>
      <c r="D24" s="19"/>
      <c r="E24" s="27">
        <v>-50.16</v>
      </c>
      <c r="F24" s="27">
        <f>-sum(57,23,22)</f>
        <v>-102</v>
      </c>
      <c r="G24" s="27">
        <v>-33.5</v>
      </c>
      <c r="H24" s="27">
        <f>-sum(29.68,15,41.52)</f>
        <v>-86.2</v>
      </c>
      <c r="I24" s="27">
        <v>-19.5</v>
      </c>
      <c r="J24" s="19"/>
      <c r="K24" s="19"/>
      <c r="L24" s="19"/>
      <c r="M24" s="28"/>
      <c r="N24" s="21"/>
      <c r="O24" s="2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26">
        <v>44572.0</v>
      </c>
      <c r="B25" s="27"/>
      <c r="C25" s="27"/>
      <c r="D25" s="19"/>
      <c r="E25" s="27"/>
      <c r="F25" s="27"/>
      <c r="G25" s="19"/>
      <c r="H25" s="19"/>
      <c r="I25" s="19"/>
      <c r="J25" s="19"/>
      <c r="K25" s="19"/>
      <c r="L25" s="27"/>
      <c r="M25" s="28"/>
      <c r="N25" s="21"/>
      <c r="O25" s="2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9.5" customHeight="1">
      <c r="A26" s="26">
        <v>44573.0</v>
      </c>
      <c r="B26" s="27"/>
      <c r="C26" s="27"/>
      <c r="D26" s="19"/>
      <c r="E26" s="27"/>
      <c r="F26" s="27"/>
      <c r="G26" s="27"/>
      <c r="H26" s="19"/>
      <c r="I26" s="19"/>
      <c r="J26" s="19"/>
      <c r="K26" s="19"/>
      <c r="L26" s="19"/>
      <c r="M26" s="28"/>
      <c r="N26" s="21"/>
      <c r="O26" s="2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9.5" customHeight="1">
      <c r="A27" s="26">
        <v>44574.0</v>
      </c>
      <c r="B27" s="27"/>
      <c r="C27" s="27"/>
      <c r="D27" s="19"/>
      <c r="E27" s="27"/>
      <c r="F27" s="27"/>
      <c r="G27" s="27"/>
      <c r="H27" s="19">
        <f>-sum(17.57,3.09)</f>
        <v>-20.66</v>
      </c>
      <c r="I27" s="27">
        <v>-4.2</v>
      </c>
      <c r="J27" s="19"/>
      <c r="K27" s="19"/>
      <c r="L27" s="19"/>
      <c r="M27" s="30"/>
      <c r="N27" s="30"/>
      <c r="O27" s="2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9.5" customHeight="1">
      <c r="A28" s="26">
        <v>44575.0</v>
      </c>
      <c r="B28" s="27"/>
      <c r="C28" s="27"/>
      <c r="D28" s="19"/>
      <c r="E28" s="19"/>
      <c r="F28" s="27">
        <v>-76.67</v>
      </c>
      <c r="G28" s="27"/>
      <c r="H28" s="19">
        <f>-sum(106.38)</f>
        <v>-106.38</v>
      </c>
      <c r="I28" s="19"/>
      <c r="J28" s="19"/>
      <c r="K28" s="19"/>
      <c r="L28" s="27">
        <v>-41.0</v>
      </c>
      <c r="M28" s="31"/>
      <c r="N28" s="30"/>
      <c r="O28" s="2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9.5" customHeight="1">
      <c r="A29" s="26">
        <v>44576.0</v>
      </c>
      <c r="B29" s="27"/>
      <c r="C29" s="27"/>
      <c r="D29" s="19"/>
      <c r="E29" s="19"/>
      <c r="F29" s="27"/>
      <c r="G29" s="27"/>
      <c r="H29" s="19">
        <f>-sum(49.5,3.1)</f>
        <v>-52.6</v>
      </c>
      <c r="I29" s="27">
        <f>-sum(42,3.9)</f>
        <v>-45.9</v>
      </c>
      <c r="J29" s="19"/>
      <c r="K29" s="19"/>
      <c r="L29" s="19"/>
      <c r="M29" s="31"/>
      <c r="N29" s="30"/>
      <c r="O29" s="2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9.5" customHeight="1">
      <c r="A30" s="26">
        <v>44577.0</v>
      </c>
      <c r="B30" s="27"/>
      <c r="C30" s="27"/>
      <c r="D30" s="19"/>
      <c r="E30" s="27">
        <v>-61.54</v>
      </c>
      <c r="F30" s="27">
        <f>-sum(103,43.54)</f>
        <v>-146.54</v>
      </c>
      <c r="G30" s="27"/>
      <c r="H30" s="27">
        <v>-20.5</v>
      </c>
      <c r="I30" s="27">
        <v>-8.2</v>
      </c>
      <c r="J30" s="19"/>
      <c r="K30" s="19"/>
      <c r="L30" s="19"/>
      <c r="M30" s="31"/>
      <c r="N30" s="30"/>
      <c r="O30" s="2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9.5" customHeight="1">
      <c r="A31" s="26">
        <v>44578.0</v>
      </c>
      <c r="B31" s="27"/>
      <c r="C31" s="27"/>
      <c r="D31" s="19"/>
      <c r="E31" s="19"/>
      <c r="F31" s="19"/>
      <c r="G31" s="19"/>
      <c r="H31" s="19">
        <f>-sum(49.36,27.35,111.5)</f>
        <v>-188.21</v>
      </c>
      <c r="I31" s="19"/>
      <c r="J31" s="19"/>
      <c r="K31" s="27"/>
      <c r="L31" s="27"/>
      <c r="M31" s="30"/>
      <c r="N31" s="30"/>
      <c r="O31" s="2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9.5" customHeight="1">
      <c r="A32" s="26">
        <v>44579.0</v>
      </c>
      <c r="B32" s="19"/>
      <c r="C32" s="27"/>
      <c r="D32" s="13"/>
      <c r="E32" s="19"/>
      <c r="F32" s="19"/>
      <c r="G32" s="27"/>
      <c r="H32" s="19"/>
      <c r="I32" s="19"/>
      <c r="J32" s="19"/>
      <c r="K32" s="19"/>
      <c r="L32" s="27">
        <v>-84.61</v>
      </c>
      <c r="M32" s="30"/>
      <c r="N32" s="30"/>
      <c r="O32" s="2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9.5" customHeight="1">
      <c r="A33" s="26">
        <v>44580.0</v>
      </c>
      <c r="B33" s="27"/>
      <c r="C33" s="27"/>
      <c r="D33" s="19"/>
      <c r="E33" s="27">
        <v>-50.46</v>
      </c>
      <c r="F33" s="19"/>
      <c r="G33" s="19"/>
      <c r="H33" s="19">
        <f>-sum(5.81,4.8,9,6.3)</f>
        <v>-25.91</v>
      </c>
      <c r="I33" s="19"/>
      <c r="J33" s="19"/>
      <c r="K33" s="19"/>
      <c r="L33" s="19"/>
      <c r="M33" s="30"/>
      <c r="N33" s="30"/>
      <c r="O33" s="2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9.5" customHeight="1">
      <c r="A34" s="26">
        <v>44581.0</v>
      </c>
      <c r="B34" s="27"/>
      <c r="C34" s="27"/>
      <c r="D34" s="19"/>
      <c r="E34" s="27"/>
      <c r="F34" s="27"/>
      <c r="G34" s="27"/>
      <c r="H34" s="19">
        <f>-sum(8.75,5.67)</f>
        <v>-14.42</v>
      </c>
      <c r="I34" s="19"/>
      <c r="J34" s="19"/>
      <c r="K34" s="27"/>
      <c r="L34" s="19"/>
      <c r="M34" s="30"/>
      <c r="N34" s="30"/>
      <c r="O34" s="2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9.5" customHeight="1">
      <c r="A35" s="26">
        <v>44582.0</v>
      </c>
      <c r="B35" s="27"/>
      <c r="C35" s="27"/>
      <c r="D35" s="19"/>
      <c r="E35" s="19"/>
      <c r="F35" s="27">
        <v>-20.5</v>
      </c>
      <c r="G35" s="27"/>
      <c r="H35" s="19">
        <f>-sum(14.32,50.49)</f>
        <v>-64.81</v>
      </c>
      <c r="I35" s="19">
        <f>-sum(3,28)</f>
        <v>-31</v>
      </c>
      <c r="J35" s="19"/>
      <c r="K35" s="19"/>
      <c r="L35" s="27">
        <v>-41.0</v>
      </c>
      <c r="M35" s="30"/>
      <c r="N35" s="30"/>
      <c r="O35" s="2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9.5" customHeight="1">
      <c r="A36" s="26">
        <v>44583.0</v>
      </c>
      <c r="B36" s="27"/>
      <c r="C36" s="27"/>
      <c r="D36" s="19"/>
      <c r="E36" s="27">
        <v>-30.0</v>
      </c>
      <c r="F36" s="27"/>
      <c r="G36" s="27"/>
      <c r="H36" s="19"/>
      <c r="I36" s="27">
        <v>-19.96</v>
      </c>
      <c r="J36" s="19"/>
      <c r="K36" s="19"/>
      <c r="L36" s="19"/>
      <c r="M36" s="30"/>
      <c r="N36" s="30"/>
      <c r="O36" s="2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9.5" customHeight="1">
      <c r="A37" s="26">
        <v>44584.0</v>
      </c>
      <c r="B37" s="27"/>
      <c r="C37" s="27"/>
      <c r="D37" s="19"/>
      <c r="E37" s="27">
        <v>-52.64</v>
      </c>
      <c r="F37" s="27">
        <v>-12.5</v>
      </c>
      <c r="G37" s="19"/>
      <c r="H37" s="19">
        <f>-sum(120.31,54,48.62,9.08)</f>
        <v>-232.01</v>
      </c>
      <c r="I37" s="19"/>
      <c r="J37" s="19"/>
      <c r="K37" s="19"/>
      <c r="L37" s="19"/>
      <c r="M37" s="30"/>
      <c r="N37" s="30"/>
      <c r="O37" s="2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9.5" customHeight="1">
      <c r="A38" s="26">
        <v>44585.0</v>
      </c>
      <c r="B38" s="27"/>
      <c r="C38" s="27"/>
      <c r="D38" s="19"/>
      <c r="E38" s="19"/>
      <c r="F38" s="27"/>
      <c r="G38" s="27">
        <f>-sum(33.5,40.03)</f>
        <v>-73.53</v>
      </c>
      <c r="H38" s="19"/>
      <c r="I38" s="19"/>
      <c r="J38" s="19"/>
      <c r="K38" s="19"/>
      <c r="L38" s="19"/>
      <c r="M38" s="30"/>
      <c r="N38" s="30"/>
      <c r="O38" s="2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9.5" customHeight="1">
      <c r="A39" s="26">
        <v>44586.0</v>
      </c>
      <c r="B39" s="27"/>
      <c r="C39" s="27"/>
      <c r="D39" s="19"/>
      <c r="E39" s="27"/>
      <c r="F39" s="27">
        <f>-sum(133,12.47)</f>
        <v>-145.47</v>
      </c>
      <c r="G39" s="27">
        <v>-64.99</v>
      </c>
      <c r="H39" s="19"/>
      <c r="I39" s="19"/>
      <c r="J39" s="19"/>
      <c r="K39" s="19"/>
      <c r="L39" s="19"/>
      <c r="M39" s="30"/>
      <c r="N39" s="30"/>
      <c r="O39" s="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9.5" customHeight="1">
      <c r="A40" s="26">
        <v>44587.0</v>
      </c>
      <c r="B40" s="27"/>
      <c r="C40" s="27"/>
      <c r="D40" s="19"/>
      <c r="E40" s="27"/>
      <c r="F40" s="27"/>
      <c r="G40" s="27"/>
      <c r="H40" s="27">
        <v>-58.05</v>
      </c>
      <c r="I40" s="19"/>
      <c r="J40" s="19"/>
      <c r="K40" s="19"/>
      <c r="L40" s="19"/>
      <c r="M40" s="30"/>
      <c r="N40" s="30"/>
      <c r="O40" s="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9.5" customHeight="1">
      <c r="A41" s="26">
        <v>44588.0</v>
      </c>
      <c r="B41" s="27"/>
      <c r="C41" s="27"/>
      <c r="D41" s="19"/>
      <c r="E41" s="19"/>
      <c r="F41" s="27"/>
      <c r="G41" s="27"/>
      <c r="H41" s="27">
        <v>-61.0</v>
      </c>
      <c r="I41" s="19"/>
      <c r="J41" s="19"/>
      <c r="K41" s="19"/>
      <c r="L41" s="19"/>
      <c r="M41" s="30"/>
      <c r="N41" s="30"/>
      <c r="O41" s="2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9.5" customHeight="1">
      <c r="A42" s="26">
        <v>44589.0</v>
      </c>
      <c r="B42" s="27"/>
      <c r="C42" s="27"/>
      <c r="D42" s="19"/>
      <c r="E42" s="27"/>
      <c r="F42" s="27"/>
      <c r="G42" s="19"/>
      <c r="H42" s="19"/>
      <c r="I42" s="19"/>
      <c r="J42" s="27"/>
      <c r="K42" s="19"/>
      <c r="L42" s="27">
        <v>-20.5</v>
      </c>
      <c r="M42" s="30"/>
      <c r="N42" s="30"/>
      <c r="O42" s="2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9.5" customHeight="1">
      <c r="A43" s="26">
        <v>44590.0</v>
      </c>
      <c r="B43" s="27"/>
      <c r="C43" s="27"/>
      <c r="D43" s="19"/>
      <c r="E43" s="27"/>
      <c r="F43" s="27"/>
      <c r="G43" s="27"/>
      <c r="H43" s="19"/>
      <c r="I43" s="19"/>
      <c r="J43" s="19"/>
      <c r="K43" s="19"/>
      <c r="L43" s="27"/>
      <c r="M43" s="30"/>
      <c r="N43" s="30"/>
      <c r="O43" s="2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9.5" customHeight="1">
      <c r="A44" s="26">
        <v>44591.0</v>
      </c>
      <c r="B44" s="27"/>
      <c r="C44" s="27"/>
      <c r="D44" s="19"/>
      <c r="E44" s="27"/>
      <c r="F44" s="19"/>
      <c r="G44" s="19"/>
      <c r="H44" s="27">
        <v>-75.0</v>
      </c>
      <c r="I44" s="19"/>
      <c r="J44" s="19"/>
      <c r="K44" s="19"/>
      <c r="L44" s="19"/>
      <c r="M44" s="30"/>
      <c r="N44" s="30"/>
      <c r="O44" s="2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9.5" customHeight="1">
      <c r="A45" s="26">
        <v>44592.0</v>
      </c>
      <c r="B45" s="27"/>
      <c r="C45" s="27"/>
      <c r="D45" s="19"/>
      <c r="E45" s="27"/>
      <c r="F45" s="19"/>
      <c r="G45" s="19"/>
      <c r="H45" s="19"/>
      <c r="I45" s="19"/>
      <c r="J45" s="27"/>
      <c r="K45" s="19"/>
      <c r="L45" s="19"/>
      <c r="M45" s="30"/>
      <c r="N45" s="30"/>
      <c r="O45" s="2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9.5" customHeight="1">
      <c r="A46" s="26">
        <v>44593.0</v>
      </c>
      <c r="B46" s="27"/>
      <c r="C46" s="27"/>
      <c r="D46" s="19"/>
      <c r="E46" s="19"/>
      <c r="F46" s="27"/>
      <c r="G46" s="27">
        <v>-107.54</v>
      </c>
      <c r="H46" s="19"/>
      <c r="I46" s="19"/>
      <c r="J46" s="19"/>
      <c r="K46" s="19"/>
      <c r="L46" s="27">
        <v>-19.59</v>
      </c>
      <c r="M46" s="30"/>
      <c r="N46" s="3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9.5" customHeight="1">
      <c r="A47" s="26">
        <v>44594.0</v>
      </c>
      <c r="B47" s="27"/>
      <c r="C47" s="27"/>
      <c r="D47" s="19"/>
      <c r="E47" s="19"/>
      <c r="F47" s="27"/>
      <c r="G47" s="27"/>
      <c r="H47" s="19"/>
      <c r="I47" s="19"/>
      <c r="J47" s="19"/>
      <c r="K47" s="27"/>
      <c r="L47" s="19"/>
      <c r="M47" s="30"/>
      <c r="N47" s="3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9.5" customHeight="1">
      <c r="A48" s="26">
        <v>44595.0</v>
      </c>
      <c r="B48" s="27"/>
      <c r="C48" s="27"/>
      <c r="D48" s="19"/>
      <c r="E48" s="19"/>
      <c r="F48" s="27"/>
      <c r="G48" s="19"/>
      <c r="H48" s="27"/>
      <c r="I48" s="27"/>
      <c r="J48" s="19"/>
      <c r="K48" s="19"/>
      <c r="L48" s="19"/>
      <c r="M48" s="30"/>
      <c r="N48" s="30"/>
      <c r="O48" s="2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9.5" customHeight="1">
      <c r="A49" s="26">
        <v>44596.0</v>
      </c>
      <c r="B49" s="27"/>
      <c r="C49" s="27"/>
      <c r="D49" s="19"/>
      <c r="E49" s="27"/>
      <c r="F49" s="27">
        <v>-24.09</v>
      </c>
      <c r="G49" s="27">
        <v>-76.6</v>
      </c>
      <c r="H49" s="19"/>
      <c r="I49" s="19"/>
      <c r="J49" s="19"/>
      <c r="K49" s="19"/>
      <c r="L49" s="27">
        <v>-41.0</v>
      </c>
      <c r="M49" s="30"/>
      <c r="N49" s="30"/>
      <c r="O49" s="2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9.5" customHeight="1">
      <c r="A50" s="26">
        <v>44597.0</v>
      </c>
      <c r="B50" s="27"/>
      <c r="C50" s="27"/>
      <c r="D50" s="19"/>
      <c r="E50" s="27"/>
      <c r="F50" s="27">
        <f>-sum(2.23,115.48)</f>
        <v>-117.71</v>
      </c>
      <c r="G50" s="19"/>
      <c r="H50" s="27">
        <f>-sum(39.7,17.5,25)</f>
        <v>-82.2</v>
      </c>
      <c r="I50" s="19">
        <f>-sum(40.4,8,30)</f>
        <v>-78.4</v>
      </c>
      <c r="J50" s="19"/>
      <c r="K50" s="19"/>
      <c r="L50" s="27"/>
      <c r="M50" s="30"/>
      <c r="N50" s="30"/>
      <c r="O50" s="2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9.5" customHeight="1">
      <c r="A51" s="26">
        <v>44598.0</v>
      </c>
      <c r="B51" s="27"/>
      <c r="C51" s="27"/>
      <c r="D51" s="19"/>
      <c r="E51" s="27">
        <v>-39.44</v>
      </c>
      <c r="F51" s="27">
        <v>-2.8</v>
      </c>
      <c r="G51" s="27"/>
      <c r="H51" s="19">
        <f>-sum(17.62,14.59,37.5,86.52)</f>
        <v>-156.23</v>
      </c>
      <c r="I51" s="27">
        <v>-14.98</v>
      </c>
      <c r="J51" s="19"/>
      <c r="K51" s="19">
        <f>-sum(498,1385)</f>
        <v>-1883</v>
      </c>
      <c r="L51" s="19"/>
      <c r="M51" s="30"/>
      <c r="N51" s="30"/>
      <c r="O51" s="2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9.5" customHeight="1">
      <c r="A52" s="26">
        <v>44599.0</v>
      </c>
      <c r="B52" s="27"/>
      <c r="C52" s="27"/>
      <c r="D52" s="19"/>
      <c r="E52" s="27"/>
      <c r="F52" s="27"/>
      <c r="G52" s="27">
        <v>-33.5</v>
      </c>
      <c r="H52" s="19"/>
      <c r="I52" s="19"/>
      <c r="J52" s="19"/>
      <c r="K52" s="19"/>
      <c r="L52" s="19"/>
      <c r="M52" s="30"/>
      <c r="N52" s="30"/>
      <c r="O52" s="3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9.5" customHeight="1">
      <c r="A53" s="26">
        <v>44600.0</v>
      </c>
      <c r="B53" s="27"/>
      <c r="C53" s="27"/>
      <c r="D53" s="19"/>
      <c r="E53" s="27"/>
      <c r="F53" s="27"/>
      <c r="G53" s="27">
        <v>-29.17</v>
      </c>
      <c r="H53" s="19">
        <f>-sum(19.6,29.78,13.76)</f>
        <v>-63.14</v>
      </c>
      <c r="I53" s="19"/>
      <c r="J53" s="19"/>
      <c r="K53" s="19"/>
      <c r="L53" s="19"/>
      <c r="M53" s="30"/>
      <c r="N53" s="30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9.5" customHeight="1">
      <c r="A54" s="26">
        <v>44601.0</v>
      </c>
      <c r="B54" s="27"/>
      <c r="C54" s="27"/>
      <c r="D54" s="19"/>
      <c r="E54" s="27">
        <v>-55.85</v>
      </c>
      <c r="F54" s="19"/>
      <c r="G54" s="19"/>
      <c r="H54" s="27">
        <v>-22.5</v>
      </c>
      <c r="I54" s="19"/>
      <c r="J54" s="19"/>
      <c r="K54" s="19"/>
      <c r="L54" s="19"/>
      <c r="M54" s="30"/>
      <c r="N54" s="30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9.5" customHeight="1">
      <c r="A55" s="26">
        <v>44602.0</v>
      </c>
      <c r="B55" s="27"/>
      <c r="C55" s="27"/>
      <c r="D55" s="19"/>
      <c r="E55" s="19"/>
      <c r="F55" s="27"/>
      <c r="G55" s="27"/>
      <c r="H55" s="19">
        <f>-sum(8.8,35.8)</f>
        <v>-44.6</v>
      </c>
      <c r="I55" s="27">
        <v>-26.0</v>
      </c>
      <c r="J55" s="19"/>
      <c r="K55" s="19"/>
      <c r="L55" s="19"/>
      <c r="M55" s="30"/>
      <c r="N55" s="30"/>
      <c r="O55" s="2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9.5" customHeight="1">
      <c r="A56" s="26">
        <v>44603.0</v>
      </c>
      <c r="B56" s="19"/>
      <c r="C56" s="27"/>
      <c r="D56" s="19"/>
      <c r="E56" s="19"/>
      <c r="F56" s="27">
        <v>-3.1</v>
      </c>
      <c r="G56" s="19"/>
      <c r="H56" s="19">
        <f>-sum(9.43)</f>
        <v>-9.43</v>
      </c>
      <c r="I56" s="19"/>
      <c r="J56" s="19"/>
      <c r="K56" s="19"/>
      <c r="L56" s="27">
        <v>-41.0</v>
      </c>
      <c r="M56" s="30"/>
      <c r="N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9.5" customHeight="1">
      <c r="A57" s="26">
        <v>44604.0</v>
      </c>
      <c r="B57" s="27"/>
      <c r="C57" s="27"/>
      <c r="D57" s="19"/>
      <c r="E57" s="27"/>
      <c r="F57" s="19"/>
      <c r="G57" s="19"/>
      <c r="H57" s="19"/>
      <c r="I57" s="27">
        <v>-37.7</v>
      </c>
      <c r="J57" s="19"/>
      <c r="K57" s="19"/>
      <c r="L57" s="19"/>
      <c r="M57" s="30"/>
      <c r="N57" s="30"/>
      <c r="O57" s="3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9.5" customHeight="1">
      <c r="A58" s="26">
        <v>44605.0</v>
      </c>
      <c r="B58" s="27"/>
      <c r="C58" s="27"/>
      <c r="D58" s="19"/>
      <c r="E58" s="27"/>
      <c r="F58" s="19"/>
      <c r="G58" s="19"/>
      <c r="H58" s="27">
        <f>-sum(49.24,59.24)</f>
        <v>-108.48</v>
      </c>
      <c r="I58" s="19"/>
      <c r="J58" s="19"/>
      <c r="K58" s="19"/>
      <c r="L58" s="19"/>
      <c r="M58" s="30"/>
      <c r="N58" s="30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9.5" customHeight="1">
      <c r="A59" s="26">
        <v>44606.0</v>
      </c>
      <c r="B59" s="27"/>
      <c r="C59" s="27"/>
      <c r="D59" s="19"/>
      <c r="E59" s="27"/>
      <c r="F59" s="27">
        <f>-sum(61,29)</f>
        <v>-90</v>
      </c>
      <c r="G59" s="19"/>
      <c r="H59" s="19"/>
      <c r="I59" s="19"/>
      <c r="J59" s="19"/>
      <c r="K59" s="19"/>
      <c r="L59" s="19"/>
      <c r="M59" s="30"/>
      <c r="N59" s="3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9.5" customHeight="1">
      <c r="A60" s="26">
        <v>44607.0</v>
      </c>
      <c r="B60" s="27"/>
      <c r="C60" s="27"/>
      <c r="D60" s="19"/>
      <c r="E60" s="27">
        <v>-54.42</v>
      </c>
      <c r="F60" s="27">
        <v>-27.0</v>
      </c>
      <c r="G60" s="27"/>
      <c r="H60" s="27">
        <f>-sum(5.5,28.01,21.78,5.99,55.3)</f>
        <v>-116.58</v>
      </c>
      <c r="I60" s="19"/>
      <c r="J60" s="19"/>
      <c r="K60" s="19"/>
      <c r="L60" s="19"/>
      <c r="M60" s="30"/>
      <c r="N60" s="30"/>
      <c r="O60" s="2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9.5" customHeight="1">
      <c r="A61" s="26">
        <v>44608.0</v>
      </c>
      <c r="B61" s="27"/>
      <c r="C61" s="27"/>
      <c r="D61" s="19"/>
      <c r="E61" s="33"/>
      <c r="F61" s="19"/>
      <c r="G61" s="19"/>
      <c r="H61" s="27">
        <f>-sum(32.61)</f>
        <v>-32.61</v>
      </c>
      <c r="I61" s="27">
        <v>-75.93</v>
      </c>
      <c r="J61" s="19"/>
      <c r="K61" s="19"/>
      <c r="L61" s="19"/>
      <c r="M61" s="30"/>
      <c r="N61" s="30"/>
      <c r="O61" s="2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9.5" customHeight="1">
      <c r="A62" s="26">
        <v>44609.0</v>
      </c>
      <c r="B62" s="27"/>
      <c r="C62" s="27"/>
      <c r="D62" s="19"/>
      <c r="E62" s="27">
        <v>-56.23</v>
      </c>
      <c r="F62" s="27">
        <v>-30.0</v>
      </c>
      <c r="G62" s="27"/>
      <c r="H62" s="19">
        <f>-sum(25.4,11)</f>
        <v>-36.4</v>
      </c>
      <c r="I62" s="19"/>
      <c r="J62" s="19"/>
      <c r="K62" s="19"/>
      <c r="L62" s="19"/>
      <c r="M62" s="30"/>
      <c r="N62" s="30"/>
      <c r="O62" s="2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9.5" customHeight="1">
      <c r="A63" s="26">
        <v>44610.0</v>
      </c>
      <c r="B63" s="27"/>
      <c r="C63" s="27"/>
      <c r="D63" s="19"/>
      <c r="E63" s="27">
        <v>-20.0</v>
      </c>
      <c r="F63" s="27"/>
      <c r="G63" s="19"/>
      <c r="H63" s="27">
        <v>-5.5</v>
      </c>
      <c r="I63" s="19"/>
      <c r="J63" s="19"/>
      <c r="K63" s="19"/>
      <c r="L63" s="27">
        <v>-41.07</v>
      </c>
      <c r="M63" s="30"/>
      <c r="N63" s="30"/>
      <c r="O63" s="2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9.5" customHeight="1">
      <c r="A64" s="26">
        <v>44611.0</v>
      </c>
      <c r="B64" s="27"/>
      <c r="C64" s="27"/>
      <c r="D64" s="19"/>
      <c r="E64" s="19"/>
      <c r="F64" s="27"/>
      <c r="G64" s="27"/>
      <c r="H64" s="27">
        <v>-4.0</v>
      </c>
      <c r="I64" s="27">
        <v>-13.5</v>
      </c>
      <c r="J64" s="19"/>
      <c r="K64" s="19"/>
      <c r="L64" s="19"/>
      <c r="M64" s="30"/>
      <c r="N64" s="30"/>
      <c r="O64" s="2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9.5" customHeight="1">
      <c r="A65" s="26">
        <v>44612.0</v>
      </c>
      <c r="B65" s="27"/>
      <c r="C65" s="27"/>
      <c r="D65" s="19"/>
      <c r="E65" s="19"/>
      <c r="F65" s="27"/>
      <c r="G65" s="27"/>
      <c r="H65" s="19">
        <f>-sum(20)</f>
        <v>-20</v>
      </c>
      <c r="I65" s="19"/>
      <c r="J65" s="19"/>
      <c r="K65" s="19"/>
      <c r="L65" s="19"/>
      <c r="M65" s="30"/>
      <c r="N65" s="30"/>
      <c r="O65" s="2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9.5" customHeight="1">
      <c r="A66" s="26">
        <v>44613.0</v>
      </c>
      <c r="B66" s="27"/>
      <c r="C66" s="27"/>
      <c r="D66" s="19"/>
      <c r="E66" s="19"/>
      <c r="F66" s="27">
        <f>-sum(4.9,36)</f>
        <v>-40.9</v>
      </c>
      <c r="G66" s="27">
        <v>-33.5</v>
      </c>
      <c r="H66" s="19">
        <f>-sum(52.25,42.54,43.16)</f>
        <v>-137.95</v>
      </c>
      <c r="I66" s="27">
        <f>-sum(38,7.27)</f>
        <v>-45.27</v>
      </c>
      <c r="J66" s="19"/>
      <c r="K66" s="19"/>
      <c r="L66" s="19"/>
      <c r="M66" s="30"/>
      <c r="N66" s="30"/>
      <c r="O66" s="2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9.5" customHeight="1">
      <c r="A67" s="26">
        <v>44614.0</v>
      </c>
      <c r="B67" s="27"/>
      <c r="C67" s="27"/>
      <c r="D67" s="19"/>
      <c r="E67" s="27">
        <v>-54.62</v>
      </c>
      <c r="F67" s="27"/>
      <c r="G67" s="27">
        <f>-sum(64.99,40.03)</f>
        <v>-105.02</v>
      </c>
      <c r="H67" s="19">
        <f>-sum(27.44,14.8,9.6)</f>
        <v>-51.84</v>
      </c>
      <c r="I67" s="19"/>
      <c r="J67" s="19"/>
      <c r="K67" s="19"/>
      <c r="L67" s="19"/>
      <c r="M67" s="30"/>
      <c r="N67" s="30"/>
      <c r="O67" s="2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9.5" customHeight="1">
      <c r="A68" s="26">
        <v>44615.0</v>
      </c>
      <c r="B68" s="27"/>
      <c r="C68" s="27"/>
      <c r="D68" s="19"/>
      <c r="E68" s="27">
        <v>-31.94</v>
      </c>
      <c r="F68" s="27"/>
      <c r="G68" s="27"/>
      <c r="H68" s="19"/>
      <c r="I68" s="19"/>
      <c r="J68" s="19"/>
      <c r="K68" s="19"/>
      <c r="L68" s="19"/>
      <c r="M68" s="30"/>
      <c r="N68" s="30"/>
      <c r="O68" s="2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9.5" customHeight="1">
      <c r="A69" s="26">
        <v>44616.0</v>
      </c>
      <c r="B69" s="27"/>
      <c r="C69" s="27"/>
      <c r="D69" s="19"/>
      <c r="E69" s="27">
        <v>-45.85</v>
      </c>
      <c r="F69" s="19"/>
      <c r="G69" s="19"/>
      <c r="H69" s="27">
        <v>-29.36</v>
      </c>
      <c r="I69" s="19"/>
      <c r="J69" s="19"/>
      <c r="K69" s="19"/>
      <c r="L69" s="19"/>
      <c r="M69" s="30"/>
      <c r="N69" s="30"/>
      <c r="O69" s="2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9.5" customHeight="1">
      <c r="A70" s="26">
        <v>44617.0</v>
      </c>
      <c r="B70" s="27"/>
      <c r="C70" s="27"/>
      <c r="D70" s="19"/>
      <c r="E70" s="27"/>
      <c r="F70" s="27">
        <v>-69.0</v>
      </c>
      <c r="G70" s="27"/>
      <c r="H70" s="19">
        <f>-sum(4,9.95)</f>
        <v>-13.95</v>
      </c>
      <c r="I70" s="27">
        <v>-33.5</v>
      </c>
      <c r="J70" s="19"/>
      <c r="K70" s="27"/>
      <c r="L70" s="27">
        <v>-60.9</v>
      </c>
      <c r="M70" s="30"/>
      <c r="N70" s="30"/>
      <c r="O70" s="2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9.5" customHeight="1">
      <c r="A71" s="26">
        <v>44618.0</v>
      </c>
      <c r="B71" s="27"/>
      <c r="C71" s="27"/>
      <c r="D71" s="19"/>
      <c r="E71" s="27">
        <v>-26.08</v>
      </c>
      <c r="F71" s="27">
        <v>-3.1</v>
      </c>
      <c r="G71" s="27"/>
      <c r="H71" s="19"/>
      <c r="I71" s="19"/>
      <c r="J71" s="19"/>
      <c r="K71" s="19"/>
      <c r="L71" s="19"/>
      <c r="M71" s="30"/>
      <c r="N71" s="30"/>
      <c r="O71" s="2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9.5" customHeight="1">
      <c r="A72" s="26">
        <v>44619.0</v>
      </c>
      <c r="B72" s="27"/>
      <c r="C72" s="27"/>
      <c r="D72" s="19"/>
      <c r="E72" s="19"/>
      <c r="F72" s="27">
        <v>-26.99</v>
      </c>
      <c r="G72" s="27"/>
      <c r="H72" s="19">
        <f>-sum(9.05,3.89,2.7)</f>
        <v>-15.64</v>
      </c>
      <c r="I72" s="27">
        <v>-40.4</v>
      </c>
      <c r="J72" s="27"/>
      <c r="K72" s="19"/>
      <c r="L72" s="19"/>
      <c r="M72" s="30"/>
      <c r="N72" s="30"/>
      <c r="O72" s="2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9.5" customHeight="1">
      <c r="A73" s="26">
        <v>44620.0</v>
      </c>
      <c r="B73" s="27"/>
      <c r="C73" s="27"/>
      <c r="D73" s="19"/>
      <c r="E73" s="27"/>
      <c r="F73" s="19"/>
      <c r="G73" s="19"/>
      <c r="H73" s="27">
        <f>-sum(18.7,19.16)</f>
        <v>-37.86</v>
      </c>
      <c r="I73" s="19"/>
      <c r="J73" s="19"/>
      <c r="K73" s="19"/>
      <c r="L73" s="19"/>
      <c r="M73" s="30"/>
      <c r="N73" s="30"/>
      <c r="O73" s="2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9.5" customHeight="1">
      <c r="A74" s="26">
        <v>44621.0</v>
      </c>
      <c r="B74" s="19"/>
      <c r="C74" s="27"/>
      <c r="D74" s="19"/>
      <c r="E74" s="27">
        <v>-2.38</v>
      </c>
      <c r="F74" s="27">
        <v>-114.56</v>
      </c>
      <c r="G74" s="19"/>
      <c r="H74" s="19">
        <f>-sum(51.39)</f>
        <v>-51.39</v>
      </c>
      <c r="I74" s="19"/>
      <c r="J74" s="19"/>
      <c r="K74" s="19"/>
      <c r="L74" s="27">
        <v>-41.71</v>
      </c>
      <c r="M74" s="30"/>
      <c r="N74" s="3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9.5" customHeight="1">
      <c r="A75" s="26">
        <v>44622.0</v>
      </c>
      <c r="B75" s="19"/>
      <c r="C75" s="27"/>
      <c r="D75" s="19"/>
      <c r="E75" s="19"/>
      <c r="F75" s="27">
        <v>-399.0</v>
      </c>
      <c r="G75" s="27"/>
      <c r="H75" s="27">
        <v>-3.9</v>
      </c>
      <c r="I75" s="27">
        <v>-3.2</v>
      </c>
      <c r="J75" s="19"/>
      <c r="K75" s="27"/>
      <c r="L75" s="19"/>
      <c r="M75" s="30"/>
      <c r="N75" s="3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9.5" customHeight="1">
      <c r="A76" s="26">
        <v>44623.0</v>
      </c>
      <c r="B76" s="19"/>
      <c r="C76" s="27"/>
      <c r="D76" s="19"/>
      <c r="E76" s="27">
        <v>-51.26</v>
      </c>
      <c r="F76" s="27">
        <v>-13.0</v>
      </c>
      <c r="G76" s="27"/>
      <c r="H76" s="19"/>
      <c r="I76" s="27">
        <v>-34.0</v>
      </c>
      <c r="J76" s="19"/>
      <c r="K76" s="19"/>
      <c r="L76" s="19"/>
      <c r="M76" s="30"/>
      <c r="N76" s="3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9.5" customHeight="1">
      <c r="A77" s="26">
        <v>44624.0</v>
      </c>
      <c r="B77" s="19"/>
      <c r="C77" s="27"/>
      <c r="D77" s="19"/>
      <c r="E77" s="19"/>
      <c r="G77" s="19"/>
      <c r="I77" s="19"/>
      <c r="J77" s="19"/>
      <c r="K77" s="27"/>
      <c r="L77" s="27">
        <v>-41.0</v>
      </c>
      <c r="M77" s="30"/>
      <c r="N77" s="3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9.5" customHeight="1">
      <c r="A78" s="26">
        <v>44625.0</v>
      </c>
      <c r="B78" s="19"/>
      <c r="C78" s="27"/>
      <c r="D78" s="19"/>
      <c r="E78" s="19"/>
      <c r="F78" s="19">
        <f>-sum(3.1)</f>
        <v>-3.1</v>
      </c>
      <c r="G78" s="27"/>
      <c r="H78" s="19">
        <f>-sum(15.33,6.45)</f>
        <v>-21.78</v>
      </c>
      <c r="I78" s="19"/>
      <c r="J78" s="19"/>
      <c r="K78" s="27"/>
      <c r="L78" s="19"/>
      <c r="M78" s="30"/>
      <c r="N78" s="3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9.5" customHeight="1">
      <c r="A79" s="26">
        <v>44626.0</v>
      </c>
      <c r="B79" s="19"/>
      <c r="C79" s="27"/>
      <c r="D79" s="19"/>
      <c r="E79" s="27"/>
      <c r="F79" s="27">
        <f>-sum(14.99,45.76)</f>
        <v>-60.75</v>
      </c>
      <c r="G79" s="27"/>
      <c r="H79" s="19">
        <f>-sum(5.1,9.7,14.99,6.49)</f>
        <v>-36.28</v>
      </c>
      <c r="I79" s="27">
        <v>-39.5</v>
      </c>
      <c r="J79" s="19"/>
      <c r="K79" s="27"/>
      <c r="L79" s="27"/>
      <c r="M79" s="30"/>
      <c r="N79" s="3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9.5" customHeight="1">
      <c r="A80" s="26">
        <v>44627.0</v>
      </c>
      <c r="B80" s="19"/>
      <c r="C80" s="27"/>
      <c r="D80" s="19"/>
      <c r="E80" s="27">
        <v>-10.0</v>
      </c>
      <c r="F80" s="27">
        <f>-sum(25.95,29,24.99)</f>
        <v>-79.94</v>
      </c>
      <c r="G80" s="27">
        <v>-33.5</v>
      </c>
      <c r="H80" s="27">
        <v>-140.72</v>
      </c>
      <c r="I80" s="27">
        <v>-73.73</v>
      </c>
      <c r="J80" s="19"/>
      <c r="K80" s="19">
        <f>-sum(504,1385)</f>
        <v>-1889</v>
      </c>
      <c r="L80" s="19"/>
      <c r="M80" s="30"/>
      <c r="N80" s="3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9.5" customHeight="1">
      <c r="A81" s="26">
        <v>44628.0</v>
      </c>
      <c r="B81" s="19"/>
      <c r="C81" s="27"/>
      <c r="D81" s="19"/>
      <c r="E81" s="27">
        <v>-51.09</v>
      </c>
      <c r="F81" s="27">
        <f>-sum(24,28.95,55.87)</f>
        <v>-108.82</v>
      </c>
      <c r="G81" s="27">
        <v>-29.17</v>
      </c>
      <c r="H81" s="19">
        <f>-sum(12.6,46.5,11.9,26.62)</f>
        <v>-97.62</v>
      </c>
      <c r="I81" s="19"/>
      <c r="J81" s="19"/>
      <c r="K81" s="19"/>
      <c r="L81" s="19"/>
      <c r="M81" s="30"/>
      <c r="N81" s="3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9.5" customHeight="1">
      <c r="A82" s="26">
        <v>44629.0</v>
      </c>
      <c r="B82" s="19"/>
      <c r="C82" s="27"/>
      <c r="D82" s="19"/>
      <c r="E82" s="19"/>
      <c r="F82" s="27">
        <f>-sum(27.3,10,0.32)</f>
        <v>-37.62</v>
      </c>
      <c r="G82" s="27"/>
      <c r="H82" s="19"/>
      <c r="I82" s="19"/>
      <c r="J82" s="19"/>
      <c r="K82" s="19"/>
      <c r="L82" s="19"/>
      <c r="M82" s="30"/>
      <c r="N82" s="3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9.5" customHeight="1">
      <c r="A83" s="26">
        <v>44630.0</v>
      </c>
      <c r="B83" s="19"/>
      <c r="C83" s="27"/>
      <c r="D83" s="19"/>
      <c r="E83" s="27"/>
      <c r="F83" s="27"/>
      <c r="G83" s="27"/>
      <c r="H83" s="19"/>
      <c r="I83" s="19"/>
      <c r="J83" s="19"/>
      <c r="K83" s="19"/>
      <c r="L83" s="19"/>
      <c r="M83" s="30"/>
      <c r="N83" s="3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9.5" customHeight="1">
      <c r="A84" s="26">
        <v>44631.0</v>
      </c>
      <c r="B84" s="19"/>
      <c r="C84" s="27"/>
      <c r="D84" s="19"/>
      <c r="E84" s="27">
        <v>-56.54</v>
      </c>
      <c r="F84" s="19"/>
      <c r="G84" s="27"/>
      <c r="H84" s="19"/>
      <c r="I84" s="27">
        <v>-53.5</v>
      </c>
      <c r="J84" s="19"/>
      <c r="K84" s="19"/>
      <c r="L84" s="27">
        <v>-52.8</v>
      </c>
      <c r="M84" s="30"/>
      <c r="N84" s="3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9.5" customHeight="1">
      <c r="A85" s="26">
        <v>44632.0</v>
      </c>
      <c r="B85" s="19"/>
      <c r="C85" s="27"/>
      <c r="D85" s="19"/>
      <c r="E85" s="27"/>
      <c r="F85" s="27"/>
      <c r="G85" s="19"/>
      <c r="H85" s="19">
        <f>-sum(36.38,29.69,53.2,11)</f>
        <v>-130.27</v>
      </c>
      <c r="I85" s="19"/>
      <c r="J85" s="19"/>
      <c r="K85" s="19"/>
      <c r="L85" s="19"/>
      <c r="M85" s="30"/>
      <c r="N85" s="3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9.5" customHeight="1">
      <c r="A86" s="26">
        <v>44633.0</v>
      </c>
      <c r="B86" s="19"/>
      <c r="C86" s="27"/>
      <c r="D86" s="19"/>
      <c r="E86" s="27"/>
      <c r="F86" s="27">
        <v>-12.4</v>
      </c>
      <c r="G86" s="27"/>
      <c r="H86" s="27">
        <v>-32.0</v>
      </c>
      <c r="I86" s="27">
        <v>-13.5</v>
      </c>
      <c r="J86" s="19"/>
      <c r="K86" s="19"/>
      <c r="L86" s="19"/>
      <c r="M86" s="30"/>
      <c r="N86" s="3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9.5" customHeight="1">
      <c r="A87" s="26">
        <v>44634.0</v>
      </c>
      <c r="B87" s="19"/>
      <c r="C87" s="27"/>
      <c r="D87" s="19"/>
      <c r="E87" s="27"/>
      <c r="F87" s="27">
        <f>-sum(38.15)</f>
        <v>-38.15</v>
      </c>
      <c r="G87" s="27"/>
      <c r="H87" s="27">
        <v>-65.45</v>
      </c>
      <c r="I87" s="27">
        <v>-45.82</v>
      </c>
      <c r="J87" s="19"/>
      <c r="K87" s="19"/>
      <c r="L87" s="19"/>
      <c r="M87" s="30"/>
      <c r="N87" s="3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9.5" customHeight="1">
      <c r="A88" s="26">
        <v>44635.0</v>
      </c>
      <c r="B88" s="19"/>
      <c r="C88" s="27"/>
      <c r="D88" s="19"/>
      <c r="E88" s="27">
        <v>-49.63</v>
      </c>
      <c r="F88" s="27">
        <v>-3.0</v>
      </c>
      <c r="G88" s="27"/>
      <c r="H88" s="19">
        <f>-sum(8.9,60.05,15.95,8.99,27.79,9.9)</f>
        <v>-131.58</v>
      </c>
      <c r="I88" s="19"/>
      <c r="J88" s="19"/>
      <c r="K88" s="19"/>
      <c r="L88" s="19"/>
      <c r="M88" s="30"/>
      <c r="N88" s="3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9.5" customHeight="1">
      <c r="A89" s="26">
        <v>44636.0</v>
      </c>
      <c r="B89" s="19"/>
      <c r="C89" s="27"/>
      <c r="D89" s="19"/>
      <c r="E89" s="27"/>
      <c r="F89" s="27">
        <f>-sum(19.96,72)</f>
        <v>-91.96</v>
      </c>
      <c r="G89" s="27"/>
      <c r="H89" s="27">
        <v>-16.74</v>
      </c>
      <c r="I89" s="27">
        <v>-10.15</v>
      </c>
      <c r="J89" s="19"/>
      <c r="K89" s="19"/>
      <c r="L89" s="27">
        <v>-41.71</v>
      </c>
      <c r="M89" s="30"/>
      <c r="N89" s="3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9.5" customHeight="1">
      <c r="A90" s="26">
        <v>44637.0</v>
      </c>
      <c r="B90" s="19"/>
      <c r="C90" s="27"/>
      <c r="D90" s="19"/>
      <c r="E90" s="19"/>
      <c r="F90" s="27"/>
      <c r="G90" s="27"/>
      <c r="H90" s="19"/>
      <c r="I90" s="19"/>
      <c r="J90" s="19"/>
      <c r="K90" s="19"/>
      <c r="L90" s="19"/>
      <c r="M90" s="30"/>
      <c r="N90" s="30"/>
      <c r="O90" s="2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9.5" customHeight="1">
      <c r="A91" s="26">
        <v>44638.0</v>
      </c>
      <c r="B91" s="19"/>
      <c r="C91" s="27"/>
      <c r="D91" s="19"/>
      <c r="E91" s="27">
        <v>-71.2</v>
      </c>
      <c r="F91" s="27">
        <f>-sum(48,20)</f>
        <v>-68</v>
      </c>
      <c r="G91" s="27"/>
      <c r="H91" s="19"/>
      <c r="I91" s="19">
        <f>-sum(2,46)</f>
        <v>-48</v>
      </c>
      <c r="J91" s="19"/>
      <c r="K91" s="27"/>
      <c r="L91" s="27">
        <v>-52.8</v>
      </c>
      <c r="M91" s="30"/>
      <c r="N91" s="3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9.5" customHeight="1">
      <c r="A92" s="26">
        <v>44639.0</v>
      </c>
      <c r="B92" s="19"/>
      <c r="C92" s="27"/>
      <c r="D92" s="19"/>
      <c r="E92" s="19"/>
      <c r="F92" s="27"/>
      <c r="G92" s="27">
        <v>-1532.8</v>
      </c>
      <c r="H92" s="19"/>
      <c r="I92" s="27">
        <v>-57.58</v>
      </c>
      <c r="J92" s="19"/>
      <c r="K92" s="27"/>
      <c r="L92" s="27"/>
      <c r="M92" s="30"/>
      <c r="N92" s="3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9.5" customHeight="1">
      <c r="A93" s="26">
        <v>44640.0</v>
      </c>
      <c r="B93" s="19"/>
      <c r="C93" s="27"/>
      <c r="D93" s="19"/>
      <c r="E93" s="27"/>
      <c r="F93" s="27">
        <f>-sum(25.9,156,37.5)</f>
        <v>-219.4</v>
      </c>
      <c r="G93" s="27"/>
      <c r="H93" s="19">
        <f>-sum(16.64,23.52,7.83,9,33.56)</f>
        <v>-90.55</v>
      </c>
      <c r="I93" s="27">
        <f>-sum(15.3,18)</f>
        <v>-33.3</v>
      </c>
      <c r="J93" s="19"/>
      <c r="K93" s="27"/>
      <c r="L93" s="19"/>
      <c r="M93" s="30"/>
      <c r="N93" s="3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9.5" customHeight="1">
      <c r="A94" s="26">
        <v>44641.0</v>
      </c>
      <c r="B94" s="19"/>
      <c r="C94" s="27"/>
      <c r="D94" s="19"/>
      <c r="E94" s="27"/>
      <c r="F94" s="27">
        <f>-sum(2,5,16.45,19.9)</f>
        <v>-43.35</v>
      </c>
      <c r="G94" s="27">
        <v>-33.5</v>
      </c>
      <c r="H94" s="19">
        <f>-sum(12.9,3.5)</f>
        <v>-16.4</v>
      </c>
      <c r="I94" s="19"/>
      <c r="J94" s="19"/>
      <c r="K94" s="27"/>
      <c r="L94" s="27"/>
      <c r="M94" s="30"/>
      <c r="N94" s="3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9.5" customHeight="1">
      <c r="A95" s="26">
        <v>44642.0</v>
      </c>
      <c r="B95" s="19"/>
      <c r="C95" s="27"/>
      <c r="D95" s="19"/>
      <c r="E95" s="27">
        <v>-63.19</v>
      </c>
      <c r="F95" s="27">
        <v>-46.75</v>
      </c>
      <c r="G95" s="27">
        <v>-40.03</v>
      </c>
      <c r="H95" s="19"/>
      <c r="I95" s="19"/>
      <c r="J95" s="19"/>
      <c r="K95" s="19"/>
      <c r="L95" s="19"/>
      <c r="M95" s="30"/>
      <c r="N95" s="3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9.5" customHeight="1">
      <c r="A96" s="26">
        <v>44643.0</v>
      </c>
      <c r="B96" s="19"/>
      <c r="C96" s="27"/>
      <c r="D96" s="19"/>
      <c r="E96" s="27"/>
      <c r="F96" s="27">
        <v>-69.0</v>
      </c>
      <c r="G96" s="19"/>
      <c r="H96" s="19">
        <f>-sum(11.45,1.01,109.98,25.45)</f>
        <v>-147.89</v>
      </c>
      <c r="I96" s="19"/>
      <c r="J96" s="19"/>
      <c r="K96" s="27"/>
      <c r="L96" s="19"/>
      <c r="M96" s="30"/>
      <c r="N96" s="3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9.5" customHeight="1">
      <c r="A97" s="26">
        <v>44644.0</v>
      </c>
      <c r="B97" s="19"/>
      <c r="C97" s="27"/>
      <c r="D97" s="19"/>
      <c r="E97" s="19"/>
      <c r="F97" s="27">
        <v>-14.5</v>
      </c>
      <c r="G97" s="27">
        <v>-67.72</v>
      </c>
      <c r="H97" s="19">
        <f>-sum(26.2,12.72,47.35)</f>
        <v>-86.27</v>
      </c>
      <c r="I97" s="27">
        <f>-sum(7.5,4.28)</f>
        <v>-11.78</v>
      </c>
      <c r="J97" s="19"/>
      <c r="K97" s="19"/>
      <c r="L97" s="27"/>
      <c r="M97" s="30"/>
      <c r="N97" s="3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9.5" customHeight="1">
      <c r="A98" s="26">
        <v>44645.0</v>
      </c>
      <c r="B98" s="19"/>
      <c r="C98" s="27"/>
      <c r="D98" s="19"/>
      <c r="E98" s="19"/>
      <c r="F98" s="27"/>
      <c r="G98" s="27">
        <v>-64.99</v>
      </c>
      <c r="H98" s="27">
        <v>-8.57</v>
      </c>
      <c r="I98" s="19"/>
      <c r="J98" s="27"/>
      <c r="K98" s="19"/>
      <c r="L98" s="27">
        <v>-52.8</v>
      </c>
      <c r="M98" s="30"/>
      <c r="N98" s="3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9.5" customHeight="1">
      <c r="A99" s="26">
        <v>44646.0</v>
      </c>
      <c r="B99" s="19"/>
      <c r="C99" s="27"/>
      <c r="D99" s="19"/>
      <c r="E99" s="27">
        <f>-sum(53.58,5.37)</f>
        <v>-58.95</v>
      </c>
      <c r="F99" s="27">
        <f>-sum(37.8,38.97)</f>
        <v>-76.77</v>
      </c>
      <c r="G99" s="19"/>
      <c r="H99" s="19">
        <f>-sum(8.75,25.3)</f>
        <v>-34.05</v>
      </c>
      <c r="I99" s="27">
        <v>-17.0</v>
      </c>
      <c r="J99" s="27"/>
      <c r="K99" s="19"/>
      <c r="L99" s="19"/>
      <c r="M99" s="30"/>
      <c r="N99" s="3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9.5" customHeight="1">
      <c r="A100" s="26">
        <v>44647.0</v>
      </c>
      <c r="B100" s="19"/>
      <c r="C100" s="27"/>
      <c r="D100" s="19"/>
      <c r="E100" s="19"/>
      <c r="F100" s="19">
        <f>-sum(10)</f>
        <v>-10</v>
      </c>
      <c r="G100" s="19"/>
      <c r="H100" s="19">
        <f>-sum(2.07,11.49,13.37)</f>
        <v>-26.93</v>
      </c>
      <c r="I100" s="27">
        <f>-sum(11.8,33)</f>
        <v>-44.8</v>
      </c>
      <c r="J100" s="19"/>
      <c r="K100" s="19"/>
      <c r="L100" s="19"/>
      <c r="M100" s="30"/>
      <c r="N100" s="3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9.5" customHeight="1">
      <c r="A101" s="26">
        <v>44648.0</v>
      </c>
      <c r="B101" s="19"/>
      <c r="C101" s="27"/>
      <c r="D101" s="19"/>
      <c r="E101" s="19"/>
      <c r="F101" s="27">
        <v>-14.5</v>
      </c>
      <c r="G101" s="27">
        <v>-63.0</v>
      </c>
      <c r="H101" s="27">
        <v>-12.85</v>
      </c>
      <c r="I101" s="19"/>
      <c r="J101" s="19"/>
      <c r="K101" s="19"/>
      <c r="L101" s="27"/>
      <c r="M101" s="30"/>
      <c r="N101" s="3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9.5" customHeight="1">
      <c r="A102" s="26">
        <v>44649.0</v>
      </c>
      <c r="B102" s="19"/>
      <c r="C102" s="27"/>
      <c r="D102" s="19"/>
      <c r="E102" s="19"/>
      <c r="F102" s="27"/>
      <c r="G102" s="27"/>
      <c r="H102" s="19"/>
      <c r="I102" s="19"/>
      <c r="J102" s="19"/>
      <c r="K102" s="19"/>
      <c r="L102" s="19"/>
      <c r="M102" s="30"/>
      <c r="N102" s="3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9.5" customHeight="1">
      <c r="A103" s="26">
        <v>44650.0</v>
      </c>
      <c r="B103" s="19"/>
      <c r="C103" s="27"/>
      <c r="D103" s="19"/>
      <c r="E103" s="19"/>
      <c r="F103" s="27">
        <v>-126.0</v>
      </c>
      <c r="G103" s="19"/>
      <c r="H103" s="19"/>
      <c r="I103" s="19"/>
      <c r="J103" s="19"/>
      <c r="K103" s="19"/>
      <c r="L103" s="19"/>
      <c r="M103" s="30"/>
      <c r="N103" s="3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9.5" customHeight="1">
      <c r="A104" s="26">
        <v>44651.0</v>
      </c>
      <c r="B104" s="19"/>
      <c r="C104" s="27"/>
      <c r="D104" s="19"/>
      <c r="E104" s="27"/>
      <c r="F104" s="27">
        <v>-14.5</v>
      </c>
      <c r="G104" s="27"/>
      <c r="H104" s="19"/>
      <c r="I104" s="19">
        <f>-sum(9.95,11.95)</f>
        <v>-21.9</v>
      </c>
      <c r="J104" s="19"/>
      <c r="K104" s="19"/>
      <c r="L104" s="19"/>
      <c r="M104" s="30"/>
      <c r="N104" s="3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9.5" customHeight="1">
      <c r="A105" s="26">
        <v>44652.0</v>
      </c>
      <c r="B105" s="19"/>
      <c r="C105" s="27"/>
      <c r="D105" s="19"/>
      <c r="E105" s="27"/>
      <c r="F105" s="27"/>
      <c r="G105" s="27"/>
      <c r="H105" s="19">
        <f>-sum(81.01)</f>
        <v>-81.01</v>
      </c>
      <c r="I105" s="27">
        <v>-10.8</v>
      </c>
      <c r="J105" s="19"/>
      <c r="K105" s="19"/>
      <c r="L105" s="27">
        <v>-52.8</v>
      </c>
      <c r="M105" s="30"/>
      <c r="N105" s="3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9.5" customHeight="1">
      <c r="A106" s="26">
        <v>44653.0</v>
      </c>
      <c r="B106" s="19"/>
      <c r="C106" s="27"/>
      <c r="D106" s="19"/>
      <c r="E106" s="19"/>
      <c r="F106" s="19"/>
      <c r="G106" s="19"/>
      <c r="H106" s="19">
        <f>-sum(2.5,11.71)</f>
        <v>-14.21</v>
      </c>
      <c r="I106" s="27">
        <v>-16.0</v>
      </c>
      <c r="J106" s="19"/>
      <c r="K106" s="19"/>
      <c r="L106" s="19"/>
      <c r="M106" s="30"/>
      <c r="N106" s="3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9.5" customHeight="1">
      <c r="A107" s="26">
        <v>44654.0</v>
      </c>
      <c r="B107" s="19"/>
      <c r="C107" s="27"/>
      <c r="D107" s="19"/>
      <c r="E107" s="27"/>
      <c r="F107" s="27">
        <f>-sum(25,6.5,15)</f>
        <v>-46.5</v>
      </c>
      <c r="G107" s="27"/>
      <c r="H107" s="19">
        <f>-sum(41.12,52)</f>
        <v>-93.12</v>
      </c>
      <c r="I107" s="27">
        <v>-35.63</v>
      </c>
      <c r="J107" s="19"/>
      <c r="K107" s="19"/>
      <c r="L107" s="19"/>
      <c r="M107" s="30"/>
      <c r="N107" s="3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9.5" customHeight="1">
      <c r="A108" s="26">
        <v>44655.0</v>
      </c>
      <c r="B108" s="19"/>
      <c r="C108" s="27"/>
      <c r="D108" s="19"/>
      <c r="E108" s="19"/>
      <c r="F108" s="27">
        <f>-sum(14.5)</f>
        <v>-14.5</v>
      </c>
      <c r="G108" s="27">
        <v>-33.5</v>
      </c>
      <c r="H108" s="19">
        <f>-sum(66.53,35.49)</f>
        <v>-102.02</v>
      </c>
      <c r="I108" s="19"/>
      <c r="J108" s="19"/>
      <c r="K108" s="19"/>
      <c r="L108" s="19"/>
      <c r="M108" s="30"/>
      <c r="N108" s="3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9.5" customHeight="1">
      <c r="A109" s="26">
        <v>44656.0</v>
      </c>
      <c r="B109" s="19"/>
      <c r="C109" s="27"/>
      <c r="D109" s="19"/>
      <c r="E109" s="19"/>
      <c r="F109" s="27"/>
      <c r="G109" s="27"/>
      <c r="H109" s="27">
        <v>-4.0</v>
      </c>
      <c r="I109" s="19">
        <f>-sum(3.9,19,16)</f>
        <v>-38.9</v>
      </c>
      <c r="J109" s="19"/>
      <c r="K109" s="19"/>
      <c r="L109" s="19"/>
      <c r="M109" s="30"/>
      <c r="N109" s="3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9.5" customHeight="1">
      <c r="A110" s="26">
        <v>44657.0</v>
      </c>
      <c r="B110" s="19"/>
      <c r="C110" s="27"/>
      <c r="D110" s="19"/>
      <c r="E110" s="19"/>
      <c r="F110" s="27"/>
      <c r="G110" s="27"/>
      <c r="H110" s="19"/>
      <c r="I110" s="27">
        <v>-75.93</v>
      </c>
      <c r="J110" s="19"/>
      <c r="K110" s="19">
        <f>-sum(1385,504)</f>
        <v>-1889</v>
      </c>
      <c r="L110" s="19"/>
      <c r="M110" s="30"/>
      <c r="N110" s="3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9.5" customHeight="1">
      <c r="A111" s="26">
        <v>44658.0</v>
      </c>
      <c r="B111" s="19"/>
      <c r="C111" s="27"/>
      <c r="D111" s="19"/>
      <c r="E111" s="27"/>
      <c r="F111" s="27">
        <v>-294.0</v>
      </c>
      <c r="G111" s="27">
        <v>-180.0</v>
      </c>
      <c r="H111" s="19"/>
      <c r="I111" s="27">
        <v>-40.4</v>
      </c>
      <c r="J111" s="19"/>
      <c r="K111" s="19"/>
      <c r="L111" s="19"/>
      <c r="M111" s="30"/>
      <c r="N111" s="3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9.5" customHeight="1">
      <c r="A112" s="26">
        <v>44659.0</v>
      </c>
      <c r="B112" s="19"/>
      <c r="C112" s="27"/>
      <c r="D112" s="19"/>
      <c r="E112" s="19"/>
      <c r="F112" s="27">
        <v>-299.0</v>
      </c>
      <c r="G112" s="19"/>
      <c r="H112" s="27">
        <v>-45.03</v>
      </c>
      <c r="I112" s="19">
        <f>-sum(6,16)</f>
        <v>-22</v>
      </c>
      <c r="J112" s="19"/>
      <c r="K112" s="19"/>
      <c r="L112" s="27">
        <v>-52.8</v>
      </c>
      <c r="M112" s="30"/>
      <c r="N112" s="3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9.5" customHeight="1">
      <c r="A113" s="26">
        <v>44660.0</v>
      </c>
      <c r="B113" s="19"/>
      <c r="C113" s="27"/>
      <c r="D113" s="19"/>
      <c r="E113" s="27"/>
      <c r="F113" s="27">
        <f>-sum(8.5)</f>
        <v>-8.5</v>
      </c>
      <c r="G113" s="27"/>
      <c r="H113" s="19"/>
      <c r="I113" s="27">
        <f>-sum(90,6.5,56.8)</f>
        <v>-153.3</v>
      </c>
      <c r="J113" s="19"/>
      <c r="K113" s="19"/>
      <c r="L113" s="19"/>
      <c r="M113" s="30"/>
      <c r="N113" s="3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9.5" customHeight="1">
      <c r="A114" s="26">
        <v>44661.0</v>
      </c>
      <c r="B114" s="19"/>
      <c r="C114" s="27"/>
      <c r="D114" s="19"/>
      <c r="E114" s="27">
        <v>-20.0</v>
      </c>
      <c r="F114" s="27">
        <v>-70.0</v>
      </c>
      <c r="G114" s="27"/>
      <c r="H114" s="19">
        <f>-sum(40.86)</f>
        <v>-40.86</v>
      </c>
      <c r="I114" s="19"/>
      <c r="J114" s="19"/>
      <c r="K114" s="19"/>
      <c r="L114" s="19"/>
      <c r="M114" s="30"/>
      <c r="N114" s="3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9.5" customHeight="1">
      <c r="A115" s="26">
        <v>44662.0</v>
      </c>
      <c r="B115" s="19"/>
      <c r="C115" s="27"/>
      <c r="D115" s="19"/>
      <c r="E115" s="27">
        <v>-20.0</v>
      </c>
      <c r="F115" s="27">
        <v>-14.5</v>
      </c>
      <c r="G115" s="27"/>
      <c r="H115" s="19"/>
      <c r="I115" s="27">
        <v>-48.0</v>
      </c>
      <c r="J115" s="19"/>
      <c r="K115" s="19"/>
      <c r="L115" s="19"/>
      <c r="M115" s="30"/>
      <c r="N115" s="3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9.5" customHeight="1">
      <c r="A116" s="26">
        <v>44663.0</v>
      </c>
      <c r="B116" s="19"/>
      <c r="C116" s="27"/>
      <c r="D116" s="19"/>
      <c r="E116" s="27">
        <v>-43.72</v>
      </c>
      <c r="F116" s="27"/>
      <c r="G116" s="27"/>
      <c r="H116" s="19"/>
      <c r="I116" s="19">
        <f>-sum(3.9,7.5,78.97,-19.74,-29.62)</f>
        <v>-41.01</v>
      </c>
      <c r="J116" s="19"/>
      <c r="K116" s="19"/>
      <c r="L116" s="19"/>
      <c r="M116" s="30"/>
      <c r="N116" s="3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9.5" customHeight="1">
      <c r="A117" s="26">
        <v>44664.0</v>
      </c>
      <c r="B117" s="19"/>
      <c r="C117" s="27"/>
      <c r="D117" s="19"/>
      <c r="E117" s="27"/>
      <c r="F117" s="27">
        <v>-16.2</v>
      </c>
      <c r="G117" s="27">
        <v>-2.83</v>
      </c>
      <c r="H117" s="19"/>
      <c r="I117" s="27">
        <v>-23.44</v>
      </c>
      <c r="J117" s="19"/>
      <c r="K117" s="27"/>
      <c r="L117" s="19"/>
      <c r="M117" s="30"/>
      <c r="N117" s="3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9.5" customHeight="1">
      <c r="A118" s="26">
        <v>44665.0</v>
      </c>
      <c r="B118" s="19"/>
      <c r="C118" s="27"/>
      <c r="D118" s="19"/>
      <c r="E118" s="27"/>
      <c r="F118" s="27"/>
      <c r="G118" s="27"/>
      <c r="H118" s="19"/>
      <c r="I118" s="19"/>
      <c r="J118" s="19"/>
      <c r="K118" s="27"/>
      <c r="L118" s="19"/>
      <c r="M118" s="30"/>
      <c r="N118" s="3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9.5" customHeight="1">
      <c r="A119" s="26">
        <v>44666.0</v>
      </c>
      <c r="B119" s="19"/>
      <c r="C119" s="27"/>
      <c r="D119" s="19"/>
      <c r="E119" s="27">
        <v>-11.22</v>
      </c>
      <c r="F119" s="27">
        <f>-sum(113.74,36.39,113)</f>
        <v>-263.13</v>
      </c>
      <c r="G119" s="27"/>
      <c r="H119" s="19"/>
      <c r="I119" s="19">
        <f>-sum(30,8)</f>
        <v>-38</v>
      </c>
      <c r="J119" s="19"/>
      <c r="K119" s="27"/>
      <c r="L119" s="19"/>
      <c r="M119" s="30"/>
      <c r="N119" s="3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9.5" customHeight="1">
      <c r="A120" s="26">
        <v>44667.0</v>
      </c>
      <c r="B120" s="19"/>
      <c r="C120" s="27"/>
      <c r="D120" s="19"/>
      <c r="E120" s="27"/>
      <c r="F120" s="27"/>
      <c r="G120" s="27"/>
      <c r="H120" s="19"/>
      <c r="I120" s="27">
        <v>-71.64</v>
      </c>
      <c r="J120" s="19"/>
      <c r="K120" s="19"/>
      <c r="L120" s="19"/>
      <c r="M120" s="30"/>
      <c r="N120" s="3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9.5" customHeight="1">
      <c r="A121" s="26">
        <v>44668.0</v>
      </c>
      <c r="B121" s="19"/>
      <c r="C121" s="27"/>
      <c r="D121" s="19"/>
      <c r="E121" s="27">
        <v>-17.0</v>
      </c>
      <c r="F121" s="27"/>
      <c r="G121" s="27"/>
      <c r="H121" s="19"/>
      <c r="I121" s="19"/>
      <c r="J121" s="19"/>
      <c r="K121" s="19"/>
      <c r="L121" s="19"/>
      <c r="M121" s="30"/>
      <c r="N121" s="3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9.5" customHeight="1">
      <c r="A122" s="26">
        <v>44669.0</v>
      </c>
      <c r="B122" s="19"/>
      <c r="C122" s="27"/>
      <c r="D122" s="19"/>
      <c r="E122" s="27"/>
      <c r="F122" s="27">
        <f>-sum(28.98)</f>
        <v>-28.98</v>
      </c>
      <c r="G122" s="27"/>
      <c r="H122" s="19">
        <f>-sum(108.9,19,28.98)</f>
        <v>-156.88</v>
      </c>
      <c r="I122" s="19"/>
      <c r="J122" s="19"/>
      <c r="K122" s="19"/>
      <c r="L122" s="19"/>
      <c r="M122" s="30"/>
      <c r="N122" s="3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9.5" customHeight="1">
      <c r="A123" s="26">
        <v>44670.0</v>
      </c>
      <c r="B123" s="19"/>
      <c r="C123" s="27"/>
      <c r="D123" s="19"/>
      <c r="E123" s="19"/>
      <c r="F123" s="27">
        <f>-sum(135.99,10,5,-128.99)</f>
        <v>-22</v>
      </c>
      <c r="G123" s="27">
        <f>-sum(33.5,52.8)</f>
        <v>-86.3</v>
      </c>
      <c r="H123" s="27">
        <v>-1.35</v>
      </c>
      <c r="I123" s="19"/>
      <c r="J123" s="19"/>
      <c r="K123" s="27"/>
      <c r="L123" s="27"/>
      <c r="M123" s="30"/>
      <c r="N123" s="3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9.5" customHeight="1">
      <c r="A124" s="26">
        <v>44671.0</v>
      </c>
      <c r="B124" s="19"/>
      <c r="C124" s="27"/>
      <c r="D124" s="19"/>
      <c r="E124" s="27"/>
      <c r="F124" s="27"/>
      <c r="G124" s="27"/>
      <c r="H124" s="19"/>
      <c r="I124" s="19"/>
      <c r="J124" s="19"/>
      <c r="K124" s="19"/>
      <c r="L124" s="19"/>
      <c r="M124" s="30"/>
      <c r="N124" s="3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9.5" customHeight="1">
      <c r="A125" s="26">
        <v>44672.0</v>
      </c>
      <c r="B125" s="19"/>
      <c r="C125" s="27"/>
      <c r="D125" s="19"/>
      <c r="E125" s="19"/>
      <c r="F125" s="27"/>
      <c r="G125" s="27"/>
      <c r="H125" s="19"/>
      <c r="I125" s="19"/>
      <c r="J125" s="19"/>
      <c r="K125" s="19"/>
      <c r="L125" s="19"/>
      <c r="M125" s="30"/>
      <c r="N125" s="3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9.5" customHeight="1">
      <c r="A126" s="26">
        <v>44673.0</v>
      </c>
      <c r="B126" s="19"/>
      <c r="C126" s="27"/>
      <c r="D126" s="19"/>
      <c r="E126" s="19"/>
      <c r="F126" s="27">
        <f>-sum(294,8,3)</f>
        <v>-305</v>
      </c>
      <c r="G126" s="27">
        <v>-40.03</v>
      </c>
      <c r="H126" s="19"/>
      <c r="I126" s="19"/>
      <c r="J126" s="19"/>
      <c r="K126" s="19"/>
      <c r="L126" s="27">
        <v>-52.8</v>
      </c>
      <c r="M126" s="30"/>
      <c r="N126" s="3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9.5" customHeight="1">
      <c r="A127" s="26">
        <v>44674.0</v>
      </c>
      <c r="B127" s="19"/>
      <c r="C127" s="27"/>
      <c r="D127" s="19"/>
      <c r="E127" s="19"/>
      <c r="F127" s="27"/>
      <c r="G127" s="27"/>
      <c r="H127" s="27">
        <v>-11.0</v>
      </c>
      <c r="I127" s="19"/>
      <c r="J127" s="19"/>
      <c r="K127" s="27"/>
      <c r="L127" s="27"/>
      <c r="M127" s="30"/>
      <c r="N127" s="3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9.5" customHeight="1">
      <c r="A128" s="26">
        <v>44675.0</v>
      </c>
      <c r="B128" s="19"/>
      <c r="C128" s="27"/>
      <c r="D128" s="19"/>
      <c r="E128" s="19"/>
      <c r="F128" s="27"/>
      <c r="G128" s="27"/>
      <c r="H128" s="27">
        <v>-73.35</v>
      </c>
      <c r="I128" s="27">
        <v>-65.0</v>
      </c>
      <c r="J128" s="19"/>
      <c r="K128" s="27"/>
      <c r="L128" s="27"/>
      <c r="M128" s="30"/>
      <c r="N128" s="3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9.5" customHeight="1">
      <c r="A129" s="26">
        <v>44676.0</v>
      </c>
      <c r="B129" s="19"/>
      <c r="C129" s="27"/>
      <c r="D129" s="19"/>
      <c r="E129" s="27">
        <v>-0.71</v>
      </c>
      <c r="F129" s="27">
        <f>-sum(12,140)</f>
        <v>-152</v>
      </c>
      <c r="G129" s="27"/>
      <c r="H129" s="19"/>
      <c r="I129" s="27">
        <f>-sum(53.98,40)</f>
        <v>-93.98</v>
      </c>
      <c r="J129" s="19"/>
      <c r="K129" s="19"/>
      <c r="L129" s="27"/>
      <c r="M129" s="30"/>
      <c r="N129" s="3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9.5" customHeight="1">
      <c r="A130" s="26">
        <v>44677.0</v>
      </c>
      <c r="B130" s="19"/>
      <c r="C130" s="27"/>
      <c r="D130" s="19"/>
      <c r="E130" s="27"/>
      <c r="F130" s="27"/>
      <c r="G130" s="27"/>
      <c r="H130" s="19">
        <f>-sum(25.5,7.1)</f>
        <v>-32.6</v>
      </c>
      <c r="I130" s="19"/>
      <c r="J130" s="19"/>
      <c r="K130" s="19"/>
      <c r="L130" s="27"/>
      <c r="M130" s="30"/>
      <c r="N130" s="3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9.5" customHeight="1">
      <c r="A131" s="26">
        <v>44678.0</v>
      </c>
      <c r="B131" s="19"/>
      <c r="C131" s="27"/>
      <c r="D131" s="19"/>
      <c r="E131" s="27"/>
      <c r="F131" s="27">
        <v>-14.5</v>
      </c>
      <c r="G131" s="27">
        <v>-64.99</v>
      </c>
      <c r="H131" s="19"/>
      <c r="I131" s="19"/>
      <c r="J131" s="19"/>
      <c r="K131" s="27"/>
      <c r="L131" s="19"/>
      <c r="M131" s="30"/>
      <c r="N131" s="3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9.5" customHeight="1">
      <c r="A132" s="26">
        <v>44679.0</v>
      </c>
      <c r="B132" s="19"/>
      <c r="C132" s="27"/>
      <c r="D132" s="19"/>
      <c r="E132" s="27"/>
      <c r="F132" s="27">
        <f>-sum(72,27.1)</f>
        <v>-99.1</v>
      </c>
      <c r="G132" s="19"/>
      <c r="H132" s="19"/>
      <c r="I132" s="19"/>
      <c r="J132" s="19"/>
      <c r="K132" s="19"/>
      <c r="L132" s="19"/>
      <c r="M132" s="30"/>
      <c r="N132" s="3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9.5" customHeight="1">
      <c r="A133" s="26">
        <v>44680.0</v>
      </c>
      <c r="B133" s="19"/>
      <c r="C133" s="27"/>
      <c r="D133" s="19"/>
      <c r="E133" s="19"/>
      <c r="F133" s="27">
        <v>-10.0</v>
      </c>
      <c r="G133" s="27">
        <v>-22.29</v>
      </c>
      <c r="H133" s="19"/>
      <c r="I133" s="27">
        <f>-sum(3.9,8.3)</f>
        <v>-12.2</v>
      </c>
      <c r="J133" s="19"/>
      <c r="K133" s="19"/>
      <c r="L133" s="27">
        <v>-52.8</v>
      </c>
      <c r="M133" s="30"/>
      <c r="N133" s="3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9.5" customHeight="1">
      <c r="A134" s="26">
        <v>44681.0</v>
      </c>
      <c r="B134" s="19"/>
      <c r="C134" s="27"/>
      <c r="D134" s="19"/>
      <c r="E134" s="19"/>
      <c r="F134" s="19"/>
      <c r="G134" s="27">
        <v>-9.99</v>
      </c>
      <c r="H134" s="27">
        <v>-41.0</v>
      </c>
      <c r="I134" s="19"/>
      <c r="J134" s="19"/>
      <c r="K134" s="19"/>
      <c r="L134" s="27"/>
      <c r="M134" s="30"/>
      <c r="N134" s="3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9.5" customHeight="1">
      <c r="A135" s="26">
        <v>44682.0</v>
      </c>
      <c r="B135" s="19"/>
      <c r="C135" s="27"/>
      <c r="D135" s="19"/>
      <c r="E135" s="27"/>
      <c r="F135" s="27">
        <f>-sum(-135.99,7.95)</f>
        <v>128.04</v>
      </c>
      <c r="G135" s="27">
        <v>-195.1</v>
      </c>
      <c r="H135" s="27">
        <v>-11.8</v>
      </c>
      <c r="I135" s="27">
        <f>-sum(53,7.6,22.8)</f>
        <v>-83.4</v>
      </c>
      <c r="J135" s="19"/>
      <c r="K135" s="19"/>
      <c r="L135" s="27"/>
      <c r="M135" s="30"/>
      <c r="N135" s="3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9.5" customHeight="1">
      <c r="A136" s="26">
        <v>44683.0</v>
      </c>
      <c r="B136" s="19"/>
      <c r="C136" s="27"/>
      <c r="D136" s="19"/>
      <c r="E136" s="19"/>
      <c r="F136" s="27"/>
      <c r="G136" s="27">
        <v>-33.5</v>
      </c>
      <c r="H136" s="19">
        <f>-sum(23.99,6.2,11.2)</f>
        <v>-41.39</v>
      </c>
      <c r="I136" s="19"/>
      <c r="J136" s="19"/>
      <c r="K136" s="19"/>
      <c r="L136" s="27"/>
      <c r="M136" s="30"/>
      <c r="N136" s="3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9.5" customHeight="1">
      <c r="A137" s="26">
        <v>44684.0</v>
      </c>
      <c r="B137" s="19"/>
      <c r="C137" s="27"/>
      <c r="D137" s="19"/>
      <c r="E137" s="19"/>
      <c r="F137" s="27">
        <f>-sum(28,135)</f>
        <v>-163</v>
      </c>
      <c r="G137" s="27"/>
      <c r="H137" s="19"/>
      <c r="I137" s="27">
        <v>-11.0</v>
      </c>
      <c r="J137" s="19"/>
      <c r="K137" s="27"/>
      <c r="L137" s="27"/>
      <c r="M137" s="30"/>
      <c r="N137" s="3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9.5" customHeight="1">
      <c r="A138" s="26">
        <v>44685.0</v>
      </c>
      <c r="B138" s="19"/>
      <c r="C138" s="27"/>
      <c r="D138" s="19"/>
      <c r="E138" s="27"/>
      <c r="F138" s="27"/>
      <c r="G138" s="19"/>
      <c r="H138" s="19"/>
      <c r="I138" s="19"/>
      <c r="J138" s="19"/>
      <c r="K138" s="19"/>
      <c r="L138" s="19"/>
      <c r="M138" s="30"/>
      <c r="N138" s="3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9.5" customHeight="1">
      <c r="A139" s="26">
        <v>44686.0</v>
      </c>
      <c r="B139" s="19"/>
      <c r="C139" s="27"/>
      <c r="D139" s="19"/>
      <c r="E139" s="19"/>
      <c r="F139" s="19"/>
      <c r="G139" s="27">
        <v>-29.17</v>
      </c>
      <c r="H139" s="19"/>
      <c r="I139" s="19"/>
      <c r="J139" s="19"/>
      <c r="K139" s="19"/>
      <c r="L139" s="27"/>
      <c r="M139" s="30"/>
      <c r="N139" s="3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9.5" customHeight="1">
      <c r="A140" s="26">
        <v>44687.0</v>
      </c>
      <c r="B140" s="19"/>
      <c r="C140" s="27"/>
      <c r="D140" s="19"/>
      <c r="E140" s="19"/>
      <c r="F140" s="27"/>
      <c r="G140" s="19"/>
      <c r="H140" s="27">
        <v>67.1</v>
      </c>
      <c r="I140" s="19"/>
      <c r="J140" s="19"/>
      <c r="K140" s="19">
        <f>-sum(1385,504)</f>
        <v>-1889</v>
      </c>
      <c r="L140" s="27">
        <v>-52.8</v>
      </c>
      <c r="M140" s="30"/>
      <c r="N140" s="3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9.5" customHeight="1">
      <c r="A141" s="26">
        <v>44688.0</v>
      </c>
      <c r="B141" s="19"/>
      <c r="C141" s="27"/>
      <c r="D141" s="19"/>
      <c r="E141" s="19"/>
      <c r="F141" s="27"/>
      <c r="G141" s="19"/>
      <c r="H141" s="27">
        <v>-9.0</v>
      </c>
      <c r="I141" s="19"/>
      <c r="J141" s="19"/>
      <c r="K141" s="19"/>
      <c r="L141" s="19"/>
      <c r="M141" s="30"/>
      <c r="N141" s="3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9.5" customHeight="1">
      <c r="A142" s="26">
        <v>44689.0</v>
      </c>
      <c r="B142" s="19"/>
      <c r="C142" s="27"/>
      <c r="D142" s="19"/>
      <c r="E142" s="19"/>
      <c r="F142" s="27"/>
      <c r="G142" s="19"/>
      <c r="H142" s="19"/>
      <c r="I142" s="27">
        <v>-67.0</v>
      </c>
      <c r="J142" s="19"/>
      <c r="K142" s="19"/>
      <c r="L142" s="19"/>
      <c r="M142" s="30"/>
      <c r="N142" s="3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9.5" customHeight="1">
      <c r="A143" s="26">
        <v>44690.0</v>
      </c>
      <c r="B143" s="19"/>
      <c r="C143" s="27"/>
      <c r="D143" s="19"/>
      <c r="E143" s="27"/>
      <c r="F143" s="27"/>
      <c r="G143" s="19"/>
      <c r="H143" s="19"/>
      <c r="I143" s="19"/>
      <c r="J143" s="19"/>
      <c r="K143" s="19"/>
      <c r="L143" s="27"/>
      <c r="M143" s="30"/>
      <c r="N143" s="3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9.5" customHeight="1">
      <c r="A144" s="26">
        <v>44691.0</v>
      </c>
      <c r="B144" s="19"/>
      <c r="C144" s="27"/>
      <c r="D144" s="19"/>
      <c r="E144" s="27"/>
      <c r="F144" s="27">
        <v>-204.98</v>
      </c>
      <c r="G144" s="27"/>
      <c r="H144" s="27"/>
      <c r="I144" s="27">
        <v>-53.2</v>
      </c>
      <c r="J144" s="19"/>
      <c r="K144" s="27"/>
      <c r="L144" s="27"/>
      <c r="M144" s="30"/>
      <c r="N144" s="3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9.5" customHeight="1">
      <c r="A145" s="26">
        <v>44692.0</v>
      </c>
      <c r="B145" s="19"/>
      <c r="C145" s="27"/>
      <c r="D145" s="19"/>
      <c r="E145" s="27">
        <v>-20.0</v>
      </c>
      <c r="F145" s="27">
        <f>-sum(82,22.99,14.5)</f>
        <v>-119.49</v>
      </c>
      <c r="G145" s="19"/>
      <c r="H145" s="19">
        <f>-sum(67,11.6)</f>
        <v>-78.6</v>
      </c>
      <c r="I145" s="19"/>
      <c r="J145" s="19"/>
      <c r="K145" s="19"/>
      <c r="L145" s="27"/>
      <c r="M145" s="30"/>
      <c r="N145" s="3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9.5" customHeight="1">
      <c r="A146" s="26">
        <v>44693.0</v>
      </c>
      <c r="B146" s="19"/>
      <c r="C146" s="27"/>
      <c r="D146" s="19"/>
      <c r="E146" s="19"/>
      <c r="F146" s="27"/>
      <c r="G146" s="19"/>
      <c r="H146" s="19"/>
      <c r="I146" s="19"/>
      <c r="J146" s="19"/>
      <c r="K146" s="19"/>
      <c r="L146" s="19"/>
      <c r="M146" s="30"/>
      <c r="N146" s="3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9.5" customHeight="1">
      <c r="A147" s="26">
        <v>44694.0</v>
      </c>
      <c r="B147" s="19"/>
      <c r="C147" s="27"/>
      <c r="D147" s="19"/>
      <c r="E147" s="27"/>
      <c r="F147" s="27"/>
      <c r="G147" s="27">
        <v>-48.27</v>
      </c>
      <c r="H147" s="19"/>
      <c r="I147" s="27">
        <v>-8.0</v>
      </c>
      <c r="J147" s="19"/>
      <c r="K147" s="19"/>
      <c r="L147" s="27">
        <v>-52.8</v>
      </c>
      <c r="M147" s="30"/>
      <c r="N147" s="3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9.5" customHeight="1">
      <c r="A148" s="26">
        <v>44695.0</v>
      </c>
      <c r="B148" s="19"/>
      <c r="C148" s="27"/>
      <c r="D148" s="19"/>
      <c r="E148" s="27"/>
      <c r="F148" s="27"/>
      <c r="G148" s="27">
        <v>-4.0</v>
      </c>
      <c r="H148" s="19">
        <f>-sum(17.85,3.99,41.61,8.2,15)</f>
        <v>-86.65</v>
      </c>
      <c r="I148" s="19"/>
      <c r="J148" s="19"/>
      <c r="K148" s="19"/>
      <c r="L148" s="19"/>
      <c r="M148" s="30"/>
      <c r="N148" s="3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9.5" customHeight="1">
      <c r="A149" s="26">
        <v>44696.0</v>
      </c>
      <c r="B149" s="19"/>
      <c r="C149" s="27"/>
      <c r="D149" s="19"/>
      <c r="E149" s="27"/>
      <c r="F149" s="19">
        <f>-sum(8.3,19.94)</f>
        <v>-28.24</v>
      </c>
      <c r="G149" s="19"/>
      <c r="H149" s="19">
        <f>-sum(252)</f>
        <v>-252</v>
      </c>
      <c r="I149" s="19"/>
      <c r="J149" s="19"/>
      <c r="K149" s="19"/>
      <c r="L149" s="19"/>
      <c r="M149" s="30"/>
      <c r="N149" s="3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9.5" customHeight="1">
      <c r="A150" s="26">
        <v>44697.0</v>
      </c>
      <c r="B150" s="19"/>
      <c r="C150" s="27"/>
      <c r="D150" s="19"/>
      <c r="E150" s="19"/>
      <c r="F150" s="19">
        <v>200</v>
      </c>
      <c r="G150" s="27">
        <f>-sum(104.43,33.5)</f>
        <v>-137.93</v>
      </c>
      <c r="H150" s="19"/>
      <c r="I150" s="19"/>
      <c r="J150" s="19"/>
      <c r="K150" s="19"/>
      <c r="L150" s="27"/>
      <c r="M150" s="30"/>
      <c r="N150" s="3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9.5" customHeight="1">
      <c r="A151" s="26">
        <v>44698.0</v>
      </c>
      <c r="B151" s="19"/>
      <c r="C151" s="27"/>
      <c r="D151" s="19"/>
      <c r="E151" s="19"/>
      <c r="F151" s="27">
        <v>47.18</v>
      </c>
      <c r="G151" s="27"/>
      <c r="H151" s="19"/>
      <c r="I151" s="19">
        <f>-sum(24,3.9)</f>
        <v>-27.9</v>
      </c>
      <c r="J151" s="19"/>
      <c r="K151" s="19"/>
      <c r="L151" s="19"/>
      <c r="M151" s="30"/>
      <c r="N151" s="3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9.5" customHeight="1">
      <c r="A152" s="26">
        <v>44699.0</v>
      </c>
      <c r="B152" s="19"/>
      <c r="C152" s="27"/>
      <c r="D152" s="19"/>
      <c r="E152" s="27"/>
      <c r="F152" s="27"/>
      <c r="G152" s="19"/>
      <c r="H152" s="19"/>
      <c r="I152" s="19"/>
      <c r="J152" s="19"/>
      <c r="K152" s="27"/>
      <c r="L152" s="27"/>
      <c r="M152" s="30"/>
      <c r="N152" s="3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9.5" customHeight="1">
      <c r="A153" s="26">
        <v>44700.0</v>
      </c>
      <c r="B153" s="19"/>
      <c r="C153" s="27"/>
      <c r="D153" s="19"/>
      <c r="E153" s="19"/>
      <c r="F153" s="27">
        <f>-sum(125.85,33.44)</f>
        <v>-159.29</v>
      </c>
      <c r="G153" s="19"/>
      <c r="H153" s="19"/>
      <c r="I153" s="27">
        <v>-43.65</v>
      </c>
      <c r="J153" s="19"/>
      <c r="K153" s="19"/>
      <c r="L153" s="19"/>
      <c r="M153" s="30"/>
      <c r="N153" s="3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9.5" customHeight="1">
      <c r="A154" s="26">
        <v>44701.0</v>
      </c>
      <c r="B154" s="19"/>
      <c r="C154" s="27"/>
      <c r="D154" s="19"/>
      <c r="E154" s="27"/>
      <c r="F154" s="19">
        <v>200</v>
      </c>
      <c r="G154" s="19"/>
      <c r="H154" s="27">
        <v>-3.96</v>
      </c>
      <c r="I154" s="19"/>
      <c r="J154" s="19"/>
      <c r="K154" s="19"/>
      <c r="L154" s="27">
        <v>-52.8</v>
      </c>
      <c r="M154" s="30"/>
      <c r="N154" s="3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9.5" customHeight="1">
      <c r="A155" s="26">
        <v>44702.0</v>
      </c>
      <c r="B155" s="19"/>
      <c r="C155" s="27"/>
      <c r="D155" s="19"/>
      <c r="E155" s="19"/>
      <c r="F155" s="27">
        <v>-11.0</v>
      </c>
      <c r="G155" s="19"/>
      <c r="H155" s="27">
        <v>-16.25</v>
      </c>
      <c r="I155" s="27">
        <v>-100.0</v>
      </c>
      <c r="J155" s="19"/>
      <c r="K155" s="19"/>
      <c r="L155" s="27"/>
      <c r="M155" s="30"/>
      <c r="N155" s="3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9.5" customHeight="1">
      <c r="A156" s="26">
        <v>44703.0</v>
      </c>
      <c r="B156" s="19"/>
      <c r="C156" s="27"/>
      <c r="D156" s="19"/>
      <c r="E156" s="19"/>
      <c r="F156" s="27">
        <v>-40.2</v>
      </c>
      <c r="G156" s="19"/>
      <c r="H156" s="19">
        <f>-sum(29.4,26.41)</f>
        <v>-55.81</v>
      </c>
      <c r="I156" s="19">
        <f>-sum(27.4,25.2,23.2,26.41)</f>
        <v>-102.21</v>
      </c>
      <c r="J156" s="19"/>
      <c r="K156" s="27"/>
      <c r="L156" s="19"/>
      <c r="M156" s="30"/>
      <c r="N156" s="3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9.5" customHeight="1">
      <c r="A157" s="26">
        <v>44704.0</v>
      </c>
      <c r="B157" s="19"/>
      <c r="C157" s="27"/>
      <c r="D157" s="19"/>
      <c r="E157" s="19"/>
      <c r="F157" s="27">
        <v>-67.96</v>
      </c>
      <c r="G157" s="27">
        <f>-sum(37.28,40.03,203.2)</f>
        <v>-280.51</v>
      </c>
      <c r="H157" s="19"/>
      <c r="I157" s="19"/>
      <c r="J157" s="19"/>
      <c r="K157" s="19"/>
      <c r="L157" s="27"/>
      <c r="M157" s="30"/>
      <c r="N157" s="3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9.5" customHeight="1">
      <c r="A158" s="26">
        <v>44705.0</v>
      </c>
      <c r="B158" s="19"/>
      <c r="C158" s="27"/>
      <c r="D158" s="19"/>
      <c r="E158" s="27"/>
      <c r="F158" s="27">
        <v>-63.45</v>
      </c>
      <c r="G158" s="27"/>
      <c r="H158" s="27"/>
      <c r="I158" s="27"/>
      <c r="J158" s="19"/>
      <c r="K158" s="27"/>
      <c r="L158" s="19"/>
      <c r="M158" s="30"/>
      <c r="N158" s="3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9.5" customHeight="1">
      <c r="A159" s="26">
        <v>44706.0</v>
      </c>
      <c r="B159" s="19"/>
      <c r="C159" s="27"/>
      <c r="D159" s="19"/>
      <c r="E159" s="27"/>
      <c r="F159" s="19"/>
      <c r="G159" s="27">
        <v>-64.99</v>
      </c>
      <c r="H159" s="19"/>
      <c r="I159" s="19"/>
      <c r="J159" s="19"/>
      <c r="K159" s="19"/>
      <c r="L159" s="19"/>
      <c r="M159" s="30"/>
      <c r="N159" s="3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9.5" customHeight="1">
      <c r="A160" s="26">
        <v>44707.0</v>
      </c>
      <c r="B160" s="19"/>
      <c r="C160" s="27"/>
      <c r="D160" s="19"/>
      <c r="E160" s="27"/>
      <c r="F160" s="27"/>
      <c r="G160" s="27">
        <v>-37.28</v>
      </c>
      <c r="H160" s="19">
        <v>3.96</v>
      </c>
      <c r="I160" s="19"/>
      <c r="J160" s="19"/>
      <c r="K160" s="19"/>
      <c r="L160" s="19"/>
      <c r="M160" s="30"/>
      <c r="N160" s="3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9.5" customHeight="1">
      <c r="A161" s="26">
        <v>44708.0</v>
      </c>
      <c r="B161" s="19"/>
      <c r="C161" s="27"/>
      <c r="D161" s="19"/>
      <c r="E161" s="19"/>
      <c r="F161" s="19"/>
      <c r="G161" s="19"/>
      <c r="H161" s="19"/>
      <c r="I161" s="27">
        <v>-11.0</v>
      </c>
      <c r="J161" s="19"/>
      <c r="K161" s="19"/>
      <c r="L161" s="27">
        <v>-52.8</v>
      </c>
      <c r="M161" s="30"/>
      <c r="N161" s="3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9.5" customHeight="1">
      <c r="A162" s="26">
        <v>44709.0</v>
      </c>
      <c r="B162" s="19"/>
      <c r="C162" s="27"/>
      <c r="D162" s="19"/>
      <c r="E162" s="19"/>
      <c r="F162" s="19"/>
      <c r="G162" s="19"/>
      <c r="H162" s="19"/>
      <c r="I162" s="19"/>
      <c r="J162" s="19"/>
      <c r="K162" s="27"/>
      <c r="L162" s="19"/>
      <c r="M162" s="30"/>
      <c r="N162" s="3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9.5" customHeight="1">
      <c r="A163" s="26">
        <v>44710.0</v>
      </c>
      <c r="B163" s="19"/>
      <c r="C163" s="27"/>
      <c r="D163" s="19"/>
      <c r="E163" s="19"/>
      <c r="F163" s="27">
        <f>-sum(101.81,3)</f>
        <v>-104.81</v>
      </c>
      <c r="G163" s="19"/>
      <c r="H163" s="19"/>
      <c r="I163" s="27">
        <v>-11.0</v>
      </c>
      <c r="J163" s="19"/>
      <c r="K163" s="27"/>
      <c r="L163" s="19"/>
      <c r="M163" s="30"/>
      <c r="N163" s="3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9.5" customHeight="1">
      <c r="A164" s="26">
        <v>44711.0</v>
      </c>
      <c r="B164" s="19"/>
      <c r="C164" s="27"/>
      <c r="D164" s="19"/>
      <c r="E164" s="27"/>
      <c r="F164" s="27">
        <f>-sum(24.98,9)</f>
        <v>-33.98</v>
      </c>
      <c r="G164" s="27">
        <v>-33.5</v>
      </c>
      <c r="H164" s="27">
        <v>31.46</v>
      </c>
      <c r="I164" s="19"/>
      <c r="J164" s="19"/>
      <c r="K164" s="19"/>
      <c r="L164" s="19"/>
      <c r="M164" s="30"/>
      <c r="N164" s="3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9.5" customHeight="1">
      <c r="A165" s="26">
        <v>44712.0</v>
      </c>
      <c r="B165" s="19"/>
      <c r="C165" s="27"/>
      <c r="D165" s="19"/>
      <c r="E165" s="19"/>
      <c r="F165" s="27">
        <v>-21.75</v>
      </c>
      <c r="G165" s="27"/>
      <c r="H165" s="19"/>
      <c r="I165" s="19"/>
      <c r="J165" s="19"/>
      <c r="K165" s="27"/>
      <c r="L165" s="19"/>
      <c r="M165" s="30"/>
      <c r="N165" s="3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9.5" customHeight="1">
      <c r="A166" s="26">
        <v>44713.0</v>
      </c>
      <c r="B166" s="19"/>
      <c r="C166" s="27"/>
      <c r="D166" s="19"/>
      <c r="E166" s="27">
        <v>-38.75</v>
      </c>
      <c r="F166" s="27">
        <f>-sum(1400,31.4,20.3)</f>
        <v>-1451.7</v>
      </c>
      <c r="G166" s="27">
        <v>-9.99</v>
      </c>
      <c r="H166" s="19"/>
      <c r="I166" s="19"/>
      <c r="J166" s="19"/>
      <c r="K166" s="19"/>
      <c r="L166" s="19"/>
      <c r="M166" s="30"/>
      <c r="N166" s="3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9.5" customHeight="1">
      <c r="A167" s="26">
        <v>44714.0</v>
      </c>
      <c r="B167" s="19"/>
      <c r="C167" s="27"/>
      <c r="D167" s="19"/>
      <c r="E167" s="19"/>
      <c r="F167" s="27">
        <f>-650+25.45</f>
        <v>-624.55</v>
      </c>
      <c r="G167" s="19"/>
      <c r="H167" s="27">
        <v>-36.0</v>
      </c>
      <c r="I167" s="19"/>
      <c r="J167" s="19"/>
      <c r="K167" s="19"/>
      <c r="L167" s="19"/>
      <c r="M167" s="30"/>
      <c r="N167" s="3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9.5" customHeight="1">
      <c r="A168" s="26">
        <v>44715.0</v>
      </c>
      <c r="B168" s="19"/>
      <c r="C168" s="27"/>
      <c r="D168" s="19"/>
      <c r="E168" s="19"/>
      <c r="F168" s="27">
        <v>-1776.0</v>
      </c>
      <c r="G168" s="27"/>
      <c r="H168" s="27">
        <f>-sum(29.78,3.15,52,8.59)</f>
        <v>-93.52</v>
      </c>
      <c r="I168" s="19"/>
      <c r="J168" s="19"/>
      <c r="K168" s="19"/>
      <c r="L168" s="27">
        <v>-52.8</v>
      </c>
      <c r="M168" s="30"/>
      <c r="N168" s="3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9.5" customHeight="1">
      <c r="A169" s="26">
        <v>44716.0</v>
      </c>
      <c r="B169" s="19"/>
      <c r="C169" s="27"/>
      <c r="D169" s="19"/>
      <c r="E169" s="19"/>
      <c r="F169" s="27"/>
      <c r="G169" s="19"/>
      <c r="H169" s="27"/>
      <c r="I169" s="27">
        <v>-23.14</v>
      </c>
      <c r="J169" s="19"/>
      <c r="K169" s="19"/>
      <c r="L169" s="27"/>
      <c r="M169" s="30"/>
      <c r="N169" s="3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9.5" customHeight="1">
      <c r="A170" s="26">
        <v>44717.0</v>
      </c>
      <c r="B170" s="19"/>
      <c r="C170" s="27"/>
      <c r="D170" s="19"/>
      <c r="E170" s="19"/>
      <c r="F170" s="27"/>
      <c r="G170" s="19"/>
      <c r="H170" s="19">
        <f>-sum(9.09,19.2)</f>
        <v>-28.29</v>
      </c>
      <c r="I170" s="19"/>
      <c r="J170" s="19"/>
      <c r="K170" s="19"/>
      <c r="L170" s="27"/>
      <c r="M170" s="30"/>
      <c r="N170" s="3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9.5" customHeight="1">
      <c r="A171" s="26">
        <v>44718.0</v>
      </c>
      <c r="B171" s="19"/>
      <c r="C171" s="27"/>
      <c r="D171" s="19"/>
      <c r="E171" s="27"/>
      <c r="F171" s="27">
        <v>-16.0</v>
      </c>
      <c r="G171" s="19"/>
      <c r="H171" s="19"/>
      <c r="I171" s="19"/>
      <c r="J171" s="19"/>
      <c r="K171" s="19">
        <f>-sum(1385,504)</f>
        <v>-1889</v>
      </c>
      <c r="L171" s="19"/>
      <c r="M171" s="30"/>
      <c r="N171" s="3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9.5" customHeight="1">
      <c r="A172" s="26">
        <v>44719.0</v>
      </c>
      <c r="B172" s="19"/>
      <c r="C172" s="27"/>
      <c r="D172" s="19"/>
      <c r="E172" s="19"/>
      <c r="F172" s="27">
        <f>-sum(10,85)</f>
        <v>-95</v>
      </c>
      <c r="G172" s="27">
        <v>-29.17</v>
      </c>
      <c r="H172" s="19"/>
      <c r="I172" s="19"/>
      <c r="J172" s="27"/>
      <c r="K172" s="19"/>
      <c r="L172" s="27"/>
      <c r="M172" s="30"/>
      <c r="N172" s="3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9.5" customHeight="1">
      <c r="A173" s="26">
        <v>44720.0</v>
      </c>
      <c r="B173" s="19"/>
      <c r="C173" s="27"/>
      <c r="D173" s="19"/>
      <c r="E173" s="19"/>
      <c r="F173" s="27">
        <v>-52.75</v>
      </c>
      <c r="G173" s="27">
        <v>-48.99</v>
      </c>
      <c r="H173" s="19"/>
      <c r="I173" s="19"/>
      <c r="J173" s="19"/>
      <c r="K173" s="19"/>
      <c r="L173" s="27"/>
      <c r="M173" s="30"/>
      <c r="N173" s="3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9.5" customHeight="1">
      <c r="A174" s="26">
        <v>44721.0</v>
      </c>
      <c r="B174" s="19"/>
      <c r="C174" s="27"/>
      <c r="D174" s="19"/>
      <c r="E174" s="19"/>
      <c r="F174" s="27"/>
      <c r="G174" s="19"/>
      <c r="H174" s="27">
        <f>sum(10.91,-28,-28.5)</f>
        <v>-45.59</v>
      </c>
      <c r="I174" s="19"/>
      <c r="J174" s="27"/>
      <c r="K174" s="19"/>
      <c r="L174" s="19"/>
      <c r="M174" s="30"/>
      <c r="N174" s="3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9.5" customHeight="1">
      <c r="A175" s="26">
        <v>44722.0</v>
      </c>
      <c r="B175" s="19"/>
      <c r="C175" s="27"/>
      <c r="D175" s="19"/>
      <c r="E175" s="27"/>
      <c r="F175" s="27">
        <f>sum(516.3,-21.75,-16)</f>
        <v>478.55</v>
      </c>
      <c r="G175" s="19"/>
      <c r="H175" s="19"/>
      <c r="I175" s="19"/>
      <c r="J175" s="19"/>
      <c r="K175" s="19"/>
      <c r="L175" s="27">
        <v>-52.8</v>
      </c>
      <c r="M175" s="30"/>
      <c r="N175" s="3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9.5" customHeight="1">
      <c r="A176" s="26">
        <v>44723.0</v>
      </c>
      <c r="B176" s="19"/>
      <c r="C176" s="27"/>
      <c r="D176" s="19"/>
      <c r="E176" s="19"/>
      <c r="F176" s="27">
        <v>-1200.0</v>
      </c>
      <c r="G176" s="19"/>
      <c r="H176" s="19"/>
      <c r="I176" s="19"/>
      <c r="J176" s="27"/>
      <c r="K176" s="19"/>
      <c r="L176" s="19"/>
      <c r="M176" s="30"/>
      <c r="N176" s="3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9.5" customHeight="1">
      <c r="A177" s="26">
        <v>44724.0</v>
      </c>
      <c r="B177" s="19"/>
      <c r="C177" s="27"/>
      <c r="D177" s="19"/>
      <c r="E177" s="27"/>
      <c r="F177" s="27">
        <v>-149.0</v>
      </c>
      <c r="G177" s="27">
        <v>-43.72</v>
      </c>
      <c r="H177" s="19"/>
      <c r="I177" s="27">
        <v>-29.6</v>
      </c>
      <c r="J177" s="19"/>
      <c r="K177" s="19"/>
      <c r="L177" s="19"/>
      <c r="M177" s="30"/>
      <c r="N177" s="3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9.5" customHeight="1">
      <c r="A178" s="26">
        <v>44725.0</v>
      </c>
      <c r="B178" s="19"/>
      <c r="C178" s="27"/>
      <c r="D178" s="19"/>
      <c r="E178" s="19"/>
      <c r="F178" s="27">
        <v>-5.99</v>
      </c>
      <c r="G178" s="27">
        <v>-33.5</v>
      </c>
      <c r="H178" s="27">
        <f>-sum(39.55,1.9,45.03)</f>
        <v>-86.48</v>
      </c>
      <c r="I178" s="19"/>
      <c r="J178" s="19"/>
      <c r="K178" s="19"/>
      <c r="L178" s="19"/>
      <c r="M178" s="30"/>
      <c r="N178" s="3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9.5" customHeight="1">
      <c r="A179" s="26">
        <v>44726.0</v>
      </c>
      <c r="B179" s="19"/>
      <c r="C179" s="27"/>
      <c r="D179" s="19"/>
      <c r="E179" s="19"/>
      <c r="F179" s="27">
        <v>-95.16</v>
      </c>
      <c r="G179" s="27"/>
      <c r="H179" s="19"/>
      <c r="I179" s="19"/>
      <c r="J179" s="19"/>
      <c r="K179" s="19"/>
      <c r="L179" s="19"/>
      <c r="M179" s="30"/>
      <c r="N179" s="3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9.5" customHeight="1">
      <c r="A180" s="26">
        <v>44727.0</v>
      </c>
      <c r="B180" s="19"/>
      <c r="C180" s="27"/>
      <c r="D180" s="19"/>
      <c r="E180" s="19"/>
      <c r="F180" s="19">
        <f>-sum(8.08)</f>
        <v>-8.08</v>
      </c>
      <c r="G180" s="19"/>
      <c r="H180" s="19"/>
      <c r="I180" s="19"/>
      <c r="J180" s="19"/>
      <c r="K180" s="19"/>
      <c r="L180" s="19"/>
      <c r="M180" s="30"/>
      <c r="N180" s="3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9.5" customHeight="1">
      <c r="A181" s="26">
        <v>44728.0</v>
      </c>
      <c r="B181" s="19"/>
      <c r="C181" s="27"/>
      <c r="D181" s="19"/>
      <c r="E181" s="27"/>
      <c r="F181" s="27">
        <f>-sum(3,-204)</f>
        <v>201</v>
      </c>
      <c r="G181" s="19"/>
      <c r="H181" s="19"/>
      <c r="I181" s="19"/>
      <c r="J181" s="27"/>
      <c r="K181" s="19"/>
      <c r="L181" s="19"/>
      <c r="M181" s="30"/>
      <c r="N181" s="3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9.5" customHeight="1">
      <c r="A182" s="26">
        <v>44729.0</v>
      </c>
      <c r="B182" s="19"/>
      <c r="C182" s="27"/>
      <c r="D182" s="19"/>
      <c r="E182" s="19"/>
      <c r="F182" s="27">
        <f>-sum(16,156)</f>
        <v>-172</v>
      </c>
      <c r="G182" s="19"/>
      <c r="H182" s="27">
        <v>-10.3</v>
      </c>
      <c r="I182" s="27">
        <f>-sum(16,11)</f>
        <v>-27</v>
      </c>
      <c r="J182" s="19"/>
      <c r="K182" s="19"/>
      <c r="L182" s="27">
        <v>-52.8</v>
      </c>
      <c r="M182" s="30"/>
      <c r="N182" s="30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9.5" customHeight="1">
      <c r="A183" s="26">
        <v>44730.0</v>
      </c>
      <c r="B183" s="19"/>
      <c r="C183" s="27"/>
      <c r="D183" s="19"/>
      <c r="E183" s="27"/>
      <c r="F183" s="27"/>
      <c r="G183" s="19"/>
      <c r="H183" s="19"/>
      <c r="I183" s="27">
        <v>-30.0</v>
      </c>
      <c r="J183" s="19"/>
      <c r="K183" s="19"/>
      <c r="L183" s="27"/>
      <c r="M183" s="30"/>
      <c r="N183" s="30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9.5" customHeight="1">
      <c r="A184" s="26">
        <v>44731.0</v>
      </c>
      <c r="B184" s="19"/>
      <c r="C184" s="27"/>
      <c r="D184" s="19"/>
      <c r="E184" s="27"/>
      <c r="F184" s="27">
        <v>-59.99</v>
      </c>
      <c r="G184" s="19"/>
      <c r="H184" s="19"/>
      <c r="I184" s="19"/>
      <c r="J184" s="19"/>
      <c r="K184" s="19"/>
      <c r="L184" s="19"/>
      <c r="M184" s="30"/>
      <c r="N184" s="30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9.5" customHeight="1">
      <c r="A185" s="26">
        <v>44732.0</v>
      </c>
      <c r="B185" s="19"/>
      <c r="C185" s="27"/>
      <c r="D185" s="19"/>
      <c r="E185" s="27"/>
      <c r="F185" s="27">
        <v>-15.5</v>
      </c>
      <c r="G185" s="19"/>
      <c r="H185" s="27">
        <f>-sum(12.15,30)</f>
        <v>-42.15</v>
      </c>
      <c r="I185" s="19"/>
      <c r="J185" s="19"/>
      <c r="K185" s="19"/>
      <c r="L185" s="19"/>
      <c r="M185" s="30"/>
      <c r="N185" s="30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9.5" customHeight="1">
      <c r="A186" s="26">
        <v>44733.0</v>
      </c>
      <c r="B186" s="19"/>
      <c r="C186" s="27"/>
      <c r="D186" s="19"/>
      <c r="E186" s="27">
        <v>-20.0</v>
      </c>
      <c r="F186" s="27"/>
      <c r="G186" s="27"/>
      <c r="H186" s="19"/>
      <c r="I186" s="19"/>
      <c r="J186" s="19"/>
      <c r="K186" s="19"/>
      <c r="L186" s="19"/>
      <c r="M186" s="30"/>
      <c r="N186" s="30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9.5" customHeight="1">
      <c r="A187" s="26">
        <v>44734.0</v>
      </c>
      <c r="B187" s="19"/>
      <c r="C187" s="27"/>
      <c r="D187" s="19"/>
      <c r="E187" s="19"/>
      <c r="F187" s="27">
        <v>-5.0</v>
      </c>
      <c r="G187" s="27">
        <v>-40.03</v>
      </c>
      <c r="H187" s="19"/>
      <c r="I187" s="19"/>
      <c r="J187" s="19"/>
      <c r="K187" s="19"/>
      <c r="L187" s="19"/>
      <c r="M187" s="30"/>
      <c r="N187" s="30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9.5" customHeight="1">
      <c r="A188" s="26">
        <v>44735.0</v>
      </c>
      <c r="B188" s="19"/>
      <c r="C188" s="27"/>
      <c r="D188" s="19"/>
      <c r="E188" s="19"/>
      <c r="F188" s="27">
        <f>-sum(16,4.5)</f>
        <v>-20.5</v>
      </c>
      <c r="G188" s="19"/>
      <c r="H188" s="19"/>
      <c r="I188" s="19"/>
      <c r="J188" s="19"/>
      <c r="K188" s="27"/>
      <c r="L188" s="19"/>
      <c r="M188" s="30"/>
      <c r="N188" s="30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9.5" customHeight="1">
      <c r="A189" s="26">
        <v>44736.0</v>
      </c>
      <c r="B189" s="19"/>
      <c r="C189" s="27"/>
      <c r="D189" s="19"/>
      <c r="E189" s="27"/>
      <c r="F189" s="27">
        <v>-1052.0</v>
      </c>
      <c r="G189" s="27">
        <v>-64.99</v>
      </c>
      <c r="H189" s="19"/>
      <c r="I189" s="27">
        <f>24-96.05</f>
        <v>-72.05</v>
      </c>
      <c r="J189" s="19"/>
      <c r="K189" s="27"/>
      <c r="L189" s="27">
        <v>-52.8</v>
      </c>
      <c r="M189" s="30"/>
      <c r="N189" s="30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9.5" customHeight="1">
      <c r="A190" s="26">
        <v>44737.0</v>
      </c>
      <c r="B190" s="19"/>
      <c r="C190" s="27"/>
      <c r="D190" s="19"/>
      <c r="E190" s="27"/>
      <c r="F190" s="27">
        <v>-500.0</v>
      </c>
      <c r="G190" s="27"/>
      <c r="H190" s="27">
        <v>-13.6</v>
      </c>
      <c r="I190" s="19">
        <v>30.87</v>
      </c>
      <c r="J190" s="19"/>
      <c r="K190" s="19"/>
      <c r="L190" s="19"/>
      <c r="M190" s="30"/>
      <c r="N190" s="30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9.5" customHeight="1">
      <c r="A191" s="26">
        <v>44738.0</v>
      </c>
      <c r="B191" s="19"/>
      <c r="C191" s="27"/>
      <c r="D191" s="19"/>
      <c r="E191" s="19"/>
      <c r="F191" s="27">
        <v>-15.0</v>
      </c>
      <c r="G191" s="19"/>
      <c r="H191" s="19"/>
      <c r="I191" s="27">
        <v>88.9</v>
      </c>
      <c r="J191" s="19"/>
      <c r="K191" s="19"/>
      <c r="L191" s="27"/>
      <c r="M191" s="30"/>
      <c r="N191" s="30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9.5" customHeight="1">
      <c r="A192" s="26">
        <v>44739.0</v>
      </c>
      <c r="B192" s="19"/>
      <c r="C192" s="27"/>
      <c r="D192" s="19"/>
      <c r="E192" s="19"/>
      <c r="F192" s="27"/>
      <c r="G192" s="27">
        <v>-33.5</v>
      </c>
      <c r="H192" s="19"/>
      <c r="I192" s="19"/>
      <c r="J192" s="19"/>
      <c r="K192" s="19"/>
      <c r="L192" s="19"/>
      <c r="M192" s="30"/>
      <c r="N192" s="30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9.5" customHeight="1">
      <c r="A193" s="26">
        <v>44740.0</v>
      </c>
      <c r="B193" s="19"/>
      <c r="C193" s="27"/>
      <c r="D193" s="19"/>
      <c r="E193" s="19"/>
      <c r="F193" s="27"/>
      <c r="G193" s="27">
        <v>-40.08</v>
      </c>
      <c r="H193" s="19">
        <f>-sum(37.35,25)</f>
        <v>-62.35</v>
      </c>
      <c r="I193" s="19"/>
      <c r="J193" s="19"/>
      <c r="K193" s="19"/>
      <c r="L193" s="19"/>
      <c r="M193" s="30"/>
      <c r="N193" s="30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9.5" customHeight="1">
      <c r="A194" s="26">
        <v>44741.0</v>
      </c>
      <c r="B194" s="19"/>
      <c r="C194" s="27"/>
      <c r="D194" s="19"/>
      <c r="E194" s="27">
        <v>-20.0</v>
      </c>
      <c r="F194" s="27"/>
      <c r="G194" s="19"/>
      <c r="H194" s="19"/>
      <c r="I194" s="19"/>
      <c r="J194" s="19"/>
      <c r="K194" s="19"/>
      <c r="L194" s="19"/>
      <c r="M194" s="30"/>
      <c r="N194" s="30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9.5" customHeight="1">
      <c r="A195" s="26">
        <v>44742.0</v>
      </c>
      <c r="B195" s="19"/>
      <c r="C195" s="27"/>
      <c r="D195" s="19"/>
      <c r="E195" s="19"/>
      <c r="F195" s="27">
        <v>-51.08</v>
      </c>
      <c r="G195" s="19"/>
      <c r="H195" s="19"/>
      <c r="I195" s="19"/>
      <c r="J195" s="19"/>
      <c r="K195" s="27"/>
      <c r="L195" s="19"/>
      <c r="M195" s="30"/>
      <c r="N195" s="30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9.5" customHeight="1">
      <c r="A196" s="26">
        <v>44743.0</v>
      </c>
      <c r="B196" s="19"/>
      <c r="C196" s="27"/>
      <c r="D196" s="19"/>
      <c r="E196" s="27">
        <v>-51.45</v>
      </c>
      <c r="F196" s="27">
        <f>-sum(11.11,69)</f>
        <v>-80.11</v>
      </c>
      <c r="G196" s="27">
        <v>-9.99</v>
      </c>
      <c r="H196" s="19"/>
      <c r="I196" s="19">
        <f>-sum(13,11)</f>
        <v>-24</v>
      </c>
      <c r="J196" s="19"/>
      <c r="K196" s="19"/>
      <c r="L196" s="27">
        <v>-52.8</v>
      </c>
      <c r="M196" s="30"/>
      <c r="N196" s="30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26">
        <v>44744.0</v>
      </c>
      <c r="B197" s="19"/>
      <c r="C197" s="27"/>
      <c r="D197" s="19"/>
      <c r="E197" s="27"/>
      <c r="F197" s="27">
        <f>-sum(11.95,158)</f>
        <v>-169.95</v>
      </c>
      <c r="G197" s="27"/>
      <c r="H197" s="19"/>
      <c r="I197" s="19"/>
      <c r="J197" s="27"/>
      <c r="K197" s="19"/>
      <c r="L197" s="19"/>
      <c r="M197" s="30"/>
      <c r="N197" s="30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26">
        <v>44745.0</v>
      </c>
      <c r="B198" s="19"/>
      <c r="C198" s="27"/>
      <c r="D198" s="19"/>
      <c r="E198" s="27"/>
      <c r="F198" s="27">
        <f>-sum(2.7,10.55)</f>
        <v>-13.25</v>
      </c>
      <c r="G198" s="27"/>
      <c r="H198" s="19"/>
      <c r="I198" s="19"/>
      <c r="J198" s="27"/>
      <c r="K198" s="19"/>
      <c r="L198" s="19"/>
      <c r="M198" s="30"/>
      <c r="N198" s="30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26">
        <v>44746.0</v>
      </c>
      <c r="B199" s="19"/>
      <c r="C199" s="27"/>
      <c r="D199" s="19"/>
      <c r="E199" s="27">
        <v>-15.15</v>
      </c>
      <c r="F199" s="19"/>
      <c r="G199" s="19"/>
      <c r="H199" s="19"/>
      <c r="I199" s="19"/>
      <c r="J199" s="19"/>
      <c r="K199" s="19"/>
      <c r="L199" s="19"/>
      <c r="M199" s="30"/>
      <c r="N199" s="30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26">
        <v>44747.0</v>
      </c>
      <c r="B200" s="19"/>
      <c r="C200" s="27"/>
      <c r="D200" s="19"/>
      <c r="E200" s="19"/>
      <c r="F200" s="27">
        <f>-sum(5,210)</f>
        <v>-215</v>
      </c>
      <c r="G200" s="27">
        <f>-Sum(-39.25,421.17,29.17)</f>
        <v>-411.09</v>
      </c>
      <c r="H200" s="19">
        <f>-sum(3.2,24.69,-21.25)</f>
        <v>-6.64</v>
      </c>
      <c r="I200" s="19"/>
      <c r="J200" s="19"/>
      <c r="K200" s="19"/>
      <c r="L200" s="19"/>
      <c r="M200" s="30"/>
      <c r="N200" s="3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8.0" customHeight="1">
      <c r="A201" s="26">
        <v>44748.0</v>
      </c>
      <c r="B201" s="19"/>
      <c r="C201" s="27"/>
      <c r="D201" s="19"/>
      <c r="E201" s="27">
        <v>-1.0</v>
      </c>
      <c r="F201" s="27"/>
      <c r="G201" s="19"/>
      <c r="H201" s="19"/>
      <c r="I201" s="19">
        <f>-Sum(16.85,12.8,8.5)</f>
        <v>-38.15</v>
      </c>
      <c r="J201" s="19"/>
      <c r="K201" s="27">
        <f>-sum(504,1385)</f>
        <v>-1889</v>
      </c>
      <c r="L201" s="19"/>
      <c r="M201" s="30"/>
      <c r="N201" s="3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26">
        <v>44749.0</v>
      </c>
      <c r="B202" s="19"/>
      <c r="C202" s="27"/>
      <c r="D202" s="19"/>
      <c r="E202" s="19"/>
      <c r="F202" s="27"/>
      <c r="G202" s="27">
        <v>100.0</v>
      </c>
      <c r="H202" s="19"/>
      <c r="I202" s="19"/>
      <c r="J202" s="27"/>
      <c r="K202" s="19"/>
      <c r="L202" s="27"/>
      <c r="M202" s="30"/>
      <c r="N202" s="3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26">
        <v>44750.0</v>
      </c>
      <c r="B203" s="19"/>
      <c r="C203" s="27"/>
      <c r="D203" s="19"/>
      <c r="E203" s="19"/>
      <c r="F203" s="27">
        <v>-5.0</v>
      </c>
      <c r="G203" s="19"/>
      <c r="H203" s="27">
        <v>-6.49</v>
      </c>
      <c r="I203" s="27">
        <v>-16.0</v>
      </c>
      <c r="J203" s="19"/>
      <c r="K203" s="19"/>
      <c r="L203" s="27">
        <v>-52.8</v>
      </c>
      <c r="M203" s="30"/>
      <c r="N203" s="3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26">
        <v>44751.0</v>
      </c>
      <c r="B204" s="19"/>
      <c r="C204" s="27"/>
      <c r="D204" s="19"/>
      <c r="E204" s="27"/>
      <c r="F204" s="27">
        <v>-2.0</v>
      </c>
      <c r="G204" s="27">
        <v>-2013.48</v>
      </c>
      <c r="H204" s="19">
        <f>-sum(72.55,122.43)</f>
        <v>-194.98</v>
      </c>
      <c r="I204" s="27">
        <v>-49.6</v>
      </c>
      <c r="J204" s="19"/>
      <c r="K204" s="19"/>
      <c r="L204" s="19"/>
      <c r="M204" s="30"/>
      <c r="N204" s="3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26">
        <v>44752.0</v>
      </c>
      <c r="B205" s="19"/>
      <c r="C205" s="27"/>
      <c r="D205" s="19"/>
      <c r="E205" s="27"/>
      <c r="F205" s="27">
        <f>-sum(8.99)</f>
        <v>-8.99</v>
      </c>
      <c r="G205" s="27"/>
      <c r="H205" s="19">
        <f>-sum(15,2.7,32.34)</f>
        <v>-50.04</v>
      </c>
      <c r="I205" s="27">
        <f>sum(10.5,11)</f>
        <v>21.5</v>
      </c>
      <c r="J205" s="19"/>
      <c r="K205" s="19"/>
      <c r="L205" s="19"/>
      <c r="M205" s="30"/>
      <c r="N205" s="3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26">
        <v>44753.0</v>
      </c>
      <c r="B206" s="19"/>
      <c r="C206" s="27"/>
      <c r="D206" s="19"/>
      <c r="E206" s="27"/>
      <c r="F206" s="27">
        <v>-16.75</v>
      </c>
      <c r="G206" s="27">
        <v>-33.5</v>
      </c>
      <c r="H206" s="19">
        <v>23.8</v>
      </c>
      <c r="I206" s="19"/>
      <c r="J206" s="19"/>
      <c r="K206" s="27"/>
      <c r="L206" s="19"/>
      <c r="M206" s="30"/>
      <c r="N206" s="3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26">
        <v>44754.0</v>
      </c>
      <c r="B207" s="19"/>
      <c r="C207" s="27"/>
      <c r="D207" s="19"/>
      <c r="E207" s="19"/>
      <c r="F207" s="27"/>
      <c r="G207" s="27"/>
      <c r="H207" s="19">
        <f>-sum(45.3,-3.55,33.5,5.09,28.63)</f>
        <v>-108.97</v>
      </c>
      <c r="I207" s="27">
        <v>-35.0</v>
      </c>
      <c r="J207" s="27"/>
      <c r="K207" s="27"/>
      <c r="L207" s="19"/>
      <c r="M207" s="30"/>
      <c r="N207" s="3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26">
        <v>44755.0</v>
      </c>
      <c r="B208" s="19"/>
      <c r="C208" s="27"/>
      <c r="D208" s="19"/>
      <c r="E208" s="19"/>
      <c r="F208" s="27">
        <v>-5.0</v>
      </c>
      <c r="G208" s="27"/>
      <c r="H208" s="19"/>
      <c r="I208" s="19"/>
      <c r="J208" s="27"/>
      <c r="K208" s="19"/>
      <c r="L208" s="19"/>
      <c r="M208" s="30"/>
      <c r="N208" s="3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26">
        <v>44756.0</v>
      </c>
      <c r="B209" s="19"/>
      <c r="C209" s="27"/>
      <c r="D209" s="19"/>
      <c r="E209" s="27"/>
      <c r="F209" s="27">
        <v>-15.98</v>
      </c>
      <c r="G209" s="27"/>
      <c r="H209" s="19"/>
      <c r="I209" s="19"/>
      <c r="J209" s="27"/>
      <c r="K209" s="19"/>
      <c r="L209" s="19"/>
      <c r="M209" s="30"/>
      <c r="N209" s="3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26">
        <v>44757.0</v>
      </c>
      <c r="B210" s="19"/>
      <c r="C210" s="27"/>
      <c r="D210" s="19"/>
      <c r="E210" s="27"/>
      <c r="F210" s="27"/>
      <c r="G210" s="27">
        <v>-813.02</v>
      </c>
      <c r="H210" s="19"/>
      <c r="I210" s="19"/>
      <c r="J210" s="27"/>
      <c r="K210" s="27"/>
      <c r="L210" s="27">
        <v>-45.6</v>
      </c>
      <c r="M210" s="30"/>
      <c r="N210" s="3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26">
        <v>44758.0</v>
      </c>
      <c r="B211" s="19"/>
      <c r="C211" s="27"/>
      <c r="D211" s="19"/>
      <c r="E211" s="19"/>
      <c r="F211" s="27">
        <f>-sum(2.5,6,13.5)</f>
        <v>-22</v>
      </c>
      <c r="G211" s="27">
        <v>-131.72</v>
      </c>
      <c r="H211" s="19"/>
      <c r="I211" s="27">
        <v>-16.0</v>
      </c>
      <c r="J211" s="27">
        <v>-4545.0</v>
      </c>
      <c r="K211" s="19"/>
      <c r="L211" s="19"/>
      <c r="M211" s="30"/>
      <c r="N211" s="3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26">
        <v>44759.0</v>
      </c>
      <c r="B212" s="19"/>
      <c r="C212" s="27"/>
      <c r="D212" s="19"/>
      <c r="E212" s="19"/>
      <c r="F212" s="27">
        <f>-sum(88,7.5)</f>
        <v>-95.5</v>
      </c>
      <c r="G212" s="19"/>
      <c r="H212" s="19">
        <f>sum(22,8,5,11.5,13.14,5.5,79.41)</f>
        <v>144.55</v>
      </c>
      <c r="I212" s="27">
        <v>23.0</v>
      </c>
      <c r="J212" s="19"/>
      <c r="K212" s="19"/>
      <c r="L212" s="19"/>
      <c r="M212" s="30"/>
      <c r="N212" s="3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26">
        <v>44760.0</v>
      </c>
      <c r="B213" s="19"/>
      <c r="C213" s="27"/>
      <c r="D213" s="19"/>
      <c r="E213" s="19"/>
      <c r="F213" s="19">
        <f>-sum(50.47)</f>
        <v>-50.47</v>
      </c>
      <c r="G213" s="27">
        <v>250.0</v>
      </c>
      <c r="H213" s="27">
        <v>-40.5</v>
      </c>
      <c r="I213" s="19"/>
      <c r="J213" s="19"/>
      <c r="K213" s="19"/>
      <c r="L213" s="19"/>
      <c r="M213" s="30"/>
      <c r="N213" s="3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26">
        <v>44761.0</v>
      </c>
      <c r="B214" s="19"/>
      <c r="C214" s="27"/>
      <c r="D214" s="19"/>
      <c r="E214" s="27"/>
      <c r="F214" s="27">
        <v>-5.08</v>
      </c>
      <c r="G214" s="27"/>
      <c r="H214" s="27">
        <f>-sum(17.33,5.99,2.1)</f>
        <v>-25.42</v>
      </c>
      <c r="I214" s="27">
        <v>-17.82</v>
      </c>
      <c r="J214" s="27"/>
      <c r="K214" s="19"/>
      <c r="L214" s="19"/>
      <c r="M214" s="30"/>
      <c r="N214" s="3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26">
        <v>44762.0</v>
      </c>
      <c r="B215" s="19"/>
      <c r="C215" s="27"/>
      <c r="D215" s="19"/>
      <c r="E215" s="19"/>
      <c r="F215" s="27">
        <v>-60.0</v>
      </c>
      <c r="G215" s="19"/>
      <c r="H215" s="19"/>
      <c r="I215" s="19"/>
      <c r="J215" s="27">
        <v>-10000.0</v>
      </c>
      <c r="K215" s="19"/>
      <c r="L215" s="19"/>
      <c r="M215" s="30"/>
      <c r="N215" s="3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26">
        <v>44763.0</v>
      </c>
      <c r="B216" s="19"/>
      <c r="C216" s="27"/>
      <c r="D216" s="19"/>
      <c r="E216" s="19"/>
      <c r="F216" s="27">
        <f>-sum(40.25,5.8)</f>
        <v>-46.05</v>
      </c>
      <c r="G216" s="27">
        <v>-57.13</v>
      </c>
      <c r="H216" s="19"/>
      <c r="I216" s="19"/>
      <c r="J216" s="19"/>
      <c r="K216" s="19"/>
      <c r="L216" s="19"/>
      <c r="M216" s="30"/>
      <c r="N216" s="3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26">
        <v>44764.0</v>
      </c>
      <c r="B217" s="19"/>
      <c r="C217" s="27"/>
      <c r="D217" s="19"/>
      <c r="E217" s="19"/>
      <c r="F217" s="27"/>
      <c r="G217" s="27">
        <v>-40.03</v>
      </c>
      <c r="H217" s="19"/>
      <c r="I217" s="27">
        <v>-7.59</v>
      </c>
      <c r="J217" s="19"/>
      <c r="K217" s="19"/>
      <c r="L217" s="27">
        <v>-100.0</v>
      </c>
      <c r="M217" s="30"/>
      <c r="N217" s="3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26">
        <v>44765.0</v>
      </c>
      <c r="B218" s="19"/>
      <c r="C218" s="27"/>
      <c r="D218" s="19"/>
      <c r="E218" s="27"/>
      <c r="F218" s="27">
        <v>-22.92</v>
      </c>
      <c r="G218" s="19"/>
      <c r="H218" s="27"/>
      <c r="I218" s="27">
        <v>-25.8</v>
      </c>
      <c r="J218" s="19"/>
      <c r="K218" s="19"/>
      <c r="L218" s="19"/>
      <c r="M218" s="30"/>
      <c r="N218" s="3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26">
        <v>44766.0</v>
      </c>
      <c r="B219" s="19"/>
      <c r="C219" s="27"/>
      <c r="D219" s="19"/>
      <c r="E219" s="27"/>
      <c r="F219" s="27">
        <f>-sum(9,10,5,5,6)</f>
        <v>-35</v>
      </c>
      <c r="G219" s="27">
        <v>-33.5</v>
      </c>
      <c r="H219" s="27">
        <f>-sum(197.52,24.5)</f>
        <v>-222.02</v>
      </c>
      <c r="I219" s="19">
        <f>-sum(33.17,12)</f>
        <v>-45.17</v>
      </c>
      <c r="J219" s="19"/>
      <c r="K219" s="19"/>
      <c r="L219" s="19"/>
      <c r="M219" s="30"/>
      <c r="N219" s="3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26">
        <v>44767.0</v>
      </c>
      <c r="B220" s="19"/>
      <c r="C220" s="27"/>
      <c r="D220" s="19"/>
      <c r="E220" s="27"/>
      <c r="F220" s="27">
        <f>-sum(6)</f>
        <v>-6</v>
      </c>
      <c r="G220" s="19"/>
      <c r="H220" s="19">
        <f>-sum(24.95,6.25,22.34)</f>
        <v>-53.54</v>
      </c>
      <c r="I220" s="19"/>
      <c r="J220" s="27"/>
      <c r="K220" s="27">
        <v>-395.0</v>
      </c>
      <c r="L220" s="19"/>
      <c r="M220" s="30"/>
      <c r="N220" s="3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26">
        <v>44768.0</v>
      </c>
      <c r="B221" s="19"/>
      <c r="C221" s="27"/>
      <c r="D221" s="19"/>
      <c r="E221" s="27"/>
      <c r="F221" s="27"/>
      <c r="G221" s="27">
        <v>-64.99</v>
      </c>
      <c r="H221" s="19"/>
      <c r="I221" s="19"/>
      <c r="J221" s="19"/>
      <c r="K221" s="19"/>
      <c r="L221" s="19"/>
      <c r="M221" s="30"/>
      <c r="N221" s="3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26">
        <v>44769.0</v>
      </c>
      <c r="B222" s="19"/>
      <c r="C222" s="27"/>
      <c r="D222" s="19"/>
      <c r="E222" s="19"/>
      <c r="F222" s="19">
        <f>-sum(15,60)</f>
        <v>-75</v>
      </c>
      <c r="G222" s="19"/>
      <c r="H222" s="19"/>
      <c r="I222" s="19"/>
      <c r="J222" s="19"/>
      <c r="K222" s="19"/>
      <c r="L222" s="19"/>
      <c r="M222" s="30"/>
      <c r="N222" s="3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26">
        <v>44770.0</v>
      </c>
      <c r="B223" s="19"/>
      <c r="C223" s="27"/>
      <c r="D223" s="19"/>
      <c r="E223" s="19"/>
      <c r="F223" s="27">
        <v>-11.49</v>
      </c>
      <c r="G223" s="27">
        <v>-417.07</v>
      </c>
      <c r="H223" s="19">
        <f>-sum(16.34,5.2,3.5)</f>
        <v>-25.04</v>
      </c>
      <c r="I223" s="19"/>
      <c r="J223" s="19"/>
      <c r="K223" s="19"/>
      <c r="L223" s="19"/>
      <c r="M223" s="30"/>
      <c r="N223" s="3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26">
        <v>44771.0</v>
      </c>
      <c r="B224" s="19"/>
      <c r="C224" s="27"/>
      <c r="D224" s="19"/>
      <c r="E224" s="19"/>
      <c r="F224" s="27">
        <f>-sum(6,34.36,40.5,98.08)</f>
        <v>-178.94</v>
      </c>
      <c r="G224" s="27"/>
      <c r="H224" s="27">
        <v>-17.3</v>
      </c>
      <c r="I224" s="27">
        <v>-31.31</v>
      </c>
      <c r="J224" s="19"/>
      <c r="K224" s="19"/>
      <c r="L224" s="27">
        <v>-100.0</v>
      </c>
      <c r="M224" s="30"/>
      <c r="N224" s="3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26">
        <v>44772.0</v>
      </c>
      <c r="B225" s="19"/>
      <c r="C225" s="27"/>
      <c r="D225" s="19"/>
      <c r="E225" s="19"/>
      <c r="F225" s="27">
        <v>-15.65</v>
      </c>
      <c r="G225" s="27"/>
      <c r="H225" s="27">
        <v>-11.05</v>
      </c>
      <c r="I225" s="19"/>
      <c r="J225" s="19"/>
      <c r="K225" s="19"/>
      <c r="L225" s="19"/>
      <c r="M225" s="30"/>
      <c r="N225" s="3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26">
        <v>44773.0</v>
      </c>
      <c r="B226" s="19"/>
      <c r="C226" s="27"/>
      <c r="D226" s="19"/>
      <c r="E226" s="19"/>
      <c r="F226" s="19"/>
      <c r="G226" s="27"/>
      <c r="H226" s="19"/>
      <c r="I226" s="27">
        <v>-20.0</v>
      </c>
      <c r="J226" s="19"/>
      <c r="K226" s="19"/>
      <c r="L226" s="19"/>
      <c r="M226" s="30"/>
      <c r="N226" s="3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26">
        <v>44774.0</v>
      </c>
      <c r="B227" s="19"/>
      <c r="C227" s="27"/>
      <c r="D227" s="19"/>
      <c r="E227" s="19"/>
      <c r="F227" s="27">
        <v>39.0</v>
      </c>
      <c r="G227" s="27">
        <v>-933.96</v>
      </c>
      <c r="H227" s="27">
        <v>-52.57</v>
      </c>
      <c r="I227" s="27">
        <v>-16.0</v>
      </c>
      <c r="J227" s="19"/>
      <c r="K227" s="19"/>
      <c r="L227" s="19"/>
      <c r="M227" s="30"/>
      <c r="N227" s="3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26">
        <v>44775.0</v>
      </c>
      <c r="B228" s="19"/>
      <c r="C228" s="27"/>
      <c r="D228" s="19"/>
      <c r="E228" s="27"/>
      <c r="F228" s="27"/>
      <c r="G228" s="27">
        <v>-9.99</v>
      </c>
      <c r="H228" s="19">
        <f>-sum(38.23,16.15,25.01,13.2)</f>
        <v>-92.59</v>
      </c>
      <c r="I228" s="19"/>
      <c r="J228" s="19"/>
      <c r="K228" s="27"/>
      <c r="L228" s="19"/>
      <c r="M228" s="30"/>
      <c r="N228" s="3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26">
        <v>44776.0</v>
      </c>
      <c r="B229" s="19"/>
      <c r="C229" s="27"/>
      <c r="D229" s="19"/>
      <c r="E229" s="27"/>
      <c r="F229" s="27">
        <v>-46.0</v>
      </c>
      <c r="G229" s="27">
        <v>-126.7</v>
      </c>
      <c r="H229" s="19"/>
      <c r="I229" s="19"/>
      <c r="J229" s="19"/>
      <c r="K229" s="19"/>
      <c r="L229" s="19"/>
      <c r="M229" s="30"/>
      <c r="N229" s="3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26">
        <v>44777.0</v>
      </c>
      <c r="B230" s="19"/>
      <c r="C230" s="27"/>
      <c r="D230" s="19"/>
      <c r="E230" s="19"/>
      <c r="F230" s="19"/>
      <c r="G230" s="27"/>
      <c r="H230" s="27">
        <v>-23.45</v>
      </c>
      <c r="I230" s="19"/>
      <c r="J230" s="19"/>
      <c r="K230" s="19"/>
      <c r="L230" s="19"/>
      <c r="M230" s="30"/>
      <c r="N230" s="3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26">
        <v>44778.0</v>
      </c>
      <c r="B231" s="19"/>
      <c r="C231" s="27"/>
      <c r="D231" s="19"/>
      <c r="E231" s="19"/>
      <c r="F231" s="27"/>
      <c r="G231" s="27">
        <v>-29.17</v>
      </c>
      <c r="H231" s="19"/>
      <c r="I231" s="19"/>
      <c r="J231" s="19"/>
      <c r="K231" s="19"/>
      <c r="L231" s="27"/>
      <c r="M231" s="30"/>
      <c r="N231" s="3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26">
        <v>44779.0</v>
      </c>
      <c r="B232" s="19"/>
      <c r="C232" s="27"/>
      <c r="D232" s="19"/>
      <c r="E232" s="19"/>
      <c r="F232" s="19"/>
      <c r="G232" s="19"/>
      <c r="H232" s="19">
        <f>-sum(10.55,11.94,18.17)</f>
        <v>-40.66</v>
      </c>
      <c r="I232" s="27">
        <v>-45.34</v>
      </c>
      <c r="J232" s="19"/>
      <c r="K232" s="19"/>
      <c r="L232" s="27">
        <v>-100.0</v>
      </c>
      <c r="M232" s="30"/>
      <c r="N232" s="3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26">
        <v>44780.0</v>
      </c>
      <c r="B233" s="19"/>
      <c r="C233" s="27"/>
      <c r="D233" s="19"/>
      <c r="E233" s="27"/>
      <c r="F233" s="27">
        <v>-6.6</v>
      </c>
      <c r="G233" s="27"/>
      <c r="H233" s="27">
        <f>-sum(6,65.85)</f>
        <v>-71.85</v>
      </c>
      <c r="I233" s="27">
        <v>-19.75</v>
      </c>
      <c r="J233" s="19"/>
      <c r="K233" s="19"/>
      <c r="L233" s="19"/>
      <c r="M233" s="30"/>
      <c r="N233" s="3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26">
        <v>44781.0</v>
      </c>
      <c r="B234" s="19"/>
      <c r="C234" s="27"/>
      <c r="D234" s="19"/>
      <c r="E234" s="19"/>
      <c r="F234" s="27">
        <v>-16.75</v>
      </c>
      <c r="G234" s="27">
        <v>-33.5</v>
      </c>
      <c r="H234" s="19">
        <f>-sum(24.21,37.38,34.97)</f>
        <v>-96.56</v>
      </c>
      <c r="I234" s="19"/>
      <c r="J234" s="19"/>
      <c r="K234" s="19">
        <f>-sum(504,1385)</f>
        <v>-1889</v>
      </c>
      <c r="L234" s="19"/>
      <c r="M234" s="30"/>
      <c r="N234" s="3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26">
        <v>44782.0</v>
      </c>
      <c r="B235" s="19"/>
      <c r="C235" s="27"/>
      <c r="D235" s="19"/>
      <c r="E235" s="19"/>
      <c r="F235" s="19"/>
      <c r="G235" s="27"/>
      <c r="H235" s="19"/>
      <c r="I235" s="27">
        <v>-10.05</v>
      </c>
      <c r="J235" s="19"/>
      <c r="K235" s="19"/>
      <c r="L235" s="19"/>
      <c r="M235" s="30"/>
      <c r="N235" s="3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26">
        <v>44783.0</v>
      </c>
      <c r="B236" s="19"/>
      <c r="C236" s="27"/>
      <c r="D236" s="19"/>
      <c r="E236" s="27">
        <v>-20.3</v>
      </c>
      <c r="F236" s="19">
        <f>-sum(5.31,16.25)</f>
        <v>-21.56</v>
      </c>
      <c r="G236" s="19"/>
      <c r="H236" s="19"/>
      <c r="I236" s="19"/>
      <c r="J236" s="19"/>
      <c r="K236" s="19"/>
      <c r="L236" s="19"/>
      <c r="M236" s="30"/>
      <c r="N236" s="3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26">
        <v>44784.0</v>
      </c>
      <c r="B237" s="19"/>
      <c r="C237" s="27"/>
      <c r="D237" s="19"/>
      <c r="E237" s="27"/>
      <c r="F237" s="27"/>
      <c r="G237" s="19"/>
      <c r="H237" s="27"/>
      <c r="I237" s="27"/>
      <c r="J237" s="19"/>
      <c r="K237" s="19"/>
      <c r="L237" s="19"/>
      <c r="M237" s="30"/>
      <c r="N237" s="3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26">
        <v>44785.0</v>
      </c>
      <c r="B238" s="19"/>
      <c r="C238" s="27"/>
      <c r="D238" s="19"/>
      <c r="E238" s="27"/>
      <c r="F238" s="19"/>
      <c r="G238" s="19"/>
      <c r="H238" s="27">
        <v>-3.5</v>
      </c>
      <c r="I238" s="19"/>
      <c r="J238" s="19"/>
      <c r="K238" s="19"/>
      <c r="L238" s="27">
        <v>-100.0</v>
      </c>
      <c r="M238" s="30"/>
      <c r="N238" s="3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26">
        <v>44786.0</v>
      </c>
      <c r="B239" s="19"/>
      <c r="C239" s="27"/>
      <c r="D239" s="19"/>
      <c r="E239" s="19"/>
      <c r="F239" s="27">
        <f>-sum(20.95,13.09)</f>
        <v>-34.04</v>
      </c>
      <c r="G239" s="27"/>
      <c r="H239" s="27">
        <v>-29.86</v>
      </c>
      <c r="I239" s="27">
        <v>-11.0</v>
      </c>
      <c r="J239" s="19"/>
      <c r="K239" s="19"/>
      <c r="L239" s="19"/>
      <c r="M239" s="30"/>
      <c r="N239" s="3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26">
        <v>44787.0</v>
      </c>
      <c r="B240" s="19"/>
      <c r="C240" s="27"/>
      <c r="D240" s="19"/>
      <c r="E240" s="27">
        <v>-5.07</v>
      </c>
      <c r="F240" s="27">
        <f>-sum(6,3.23)</f>
        <v>-9.23</v>
      </c>
      <c r="G240" s="19"/>
      <c r="H240" s="27">
        <v>-81.78</v>
      </c>
      <c r="I240" s="19">
        <f>-sum(41.6,30.15,8)</f>
        <v>-79.75</v>
      </c>
      <c r="J240" s="19"/>
      <c r="K240" s="19"/>
      <c r="L240" s="19"/>
      <c r="M240" s="30"/>
      <c r="N240" s="3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26">
        <v>44788.0</v>
      </c>
      <c r="B241" s="19"/>
      <c r="C241" s="27"/>
      <c r="D241" s="19"/>
      <c r="E241" s="27">
        <v>-1.0</v>
      </c>
      <c r="F241" s="27">
        <f>-sum(10.3,6.2)</f>
        <v>-16.5</v>
      </c>
      <c r="G241" s="19"/>
      <c r="H241" s="27">
        <v>-23.3</v>
      </c>
      <c r="I241" s="19"/>
      <c r="J241" s="19"/>
      <c r="K241" s="19"/>
      <c r="L241" s="19"/>
      <c r="M241" s="30"/>
      <c r="N241" s="3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26">
        <v>44789.0</v>
      </c>
      <c r="B242" s="19"/>
      <c r="C242" s="27"/>
      <c r="D242" s="19"/>
      <c r="E242" s="19"/>
      <c r="F242" s="27">
        <v>-22.1</v>
      </c>
      <c r="G242" s="27"/>
      <c r="H242" s="27">
        <v>-36.31</v>
      </c>
      <c r="I242" s="19"/>
      <c r="J242" s="19"/>
      <c r="K242" s="27"/>
      <c r="L242" s="19"/>
      <c r="M242" s="30"/>
      <c r="N242" s="3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26">
        <v>44790.0</v>
      </c>
      <c r="B243" s="19"/>
      <c r="C243" s="27"/>
      <c r="D243" s="19"/>
      <c r="E243" s="19"/>
      <c r="F243" s="27">
        <v>-65.0</v>
      </c>
      <c r="G243" s="19"/>
      <c r="H243" s="19"/>
      <c r="I243" s="19"/>
      <c r="J243" s="19"/>
      <c r="K243" s="19"/>
      <c r="L243" s="19"/>
      <c r="M243" s="30"/>
      <c r="N243" s="3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26">
        <v>44791.0</v>
      </c>
      <c r="B244" s="19"/>
      <c r="C244" s="27"/>
      <c r="D244" s="19"/>
      <c r="E244" s="27">
        <v>-36.27</v>
      </c>
      <c r="F244" s="27">
        <v>-6.0</v>
      </c>
      <c r="G244" s="27">
        <v>-1969.72</v>
      </c>
      <c r="H244" s="19"/>
      <c r="I244" s="19"/>
      <c r="J244" s="27"/>
      <c r="K244" s="19"/>
      <c r="L244" s="27"/>
      <c r="M244" s="30"/>
      <c r="N244" s="3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26">
        <v>44792.0</v>
      </c>
      <c r="B245" s="19"/>
      <c r="C245" s="27"/>
      <c r="D245" s="19"/>
      <c r="E245" s="19"/>
      <c r="F245" s="27">
        <v>-20.0</v>
      </c>
      <c r="G245" s="27">
        <v>-101.46</v>
      </c>
      <c r="H245" s="27">
        <v>-42.06</v>
      </c>
      <c r="I245" s="19"/>
      <c r="J245" s="19"/>
      <c r="K245" s="19"/>
      <c r="L245" s="27">
        <v>-100.0</v>
      </c>
      <c r="M245" s="30"/>
      <c r="N245" s="3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26">
        <v>44793.0</v>
      </c>
      <c r="B246" s="19"/>
      <c r="C246" s="27"/>
      <c r="D246" s="19"/>
      <c r="E246" s="19"/>
      <c r="F246" s="19"/>
      <c r="G246" s="19"/>
      <c r="H246" s="19">
        <f>-sum(21.09,28.74,25.49,14.49)</f>
        <v>-89.81</v>
      </c>
      <c r="I246" s="19">
        <f>-sum(3.1,6.4)</f>
        <v>-9.5</v>
      </c>
      <c r="J246" s="19"/>
      <c r="K246" s="19"/>
      <c r="L246" s="19"/>
      <c r="M246" s="30"/>
      <c r="N246" s="3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26">
        <v>44794.0</v>
      </c>
      <c r="B247" s="19"/>
      <c r="C247" s="27"/>
      <c r="D247" s="19"/>
      <c r="E247" s="27"/>
      <c r="F247" s="27">
        <f>-sum(10)</f>
        <v>-10</v>
      </c>
      <c r="G247" s="19"/>
      <c r="H247" s="19"/>
      <c r="I247" s="19">
        <f>-sum(4,53.9)</f>
        <v>-57.9</v>
      </c>
      <c r="J247" s="19"/>
      <c r="K247" s="19"/>
      <c r="L247" s="19"/>
      <c r="M247" s="30"/>
      <c r="N247" s="3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26">
        <v>44795.0</v>
      </c>
      <c r="B248" s="19"/>
      <c r="C248" s="27"/>
      <c r="D248" s="19"/>
      <c r="E248" s="19"/>
      <c r="F248" s="27"/>
      <c r="G248" s="27">
        <f>-sum(33.5,40.03)</f>
        <v>-73.53</v>
      </c>
      <c r="H248" s="27">
        <v>-36.5</v>
      </c>
      <c r="I248" s="19"/>
      <c r="J248" s="19"/>
      <c r="K248" s="19"/>
      <c r="L248" s="19"/>
      <c r="M248" s="30"/>
      <c r="N248" s="3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26">
        <v>44796.0</v>
      </c>
      <c r="B249" s="19"/>
      <c r="C249" s="27"/>
      <c r="D249" s="19"/>
      <c r="E249" s="19"/>
      <c r="F249" s="19"/>
      <c r="G249" s="19"/>
      <c r="H249" s="27">
        <v>-26.0</v>
      </c>
      <c r="I249" s="19"/>
      <c r="J249" s="19"/>
      <c r="K249" s="19"/>
      <c r="L249" s="19"/>
      <c r="M249" s="30"/>
      <c r="N249" s="3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26">
        <v>44797.0</v>
      </c>
      <c r="B250" s="19"/>
      <c r="C250" s="27"/>
      <c r="D250" s="19"/>
      <c r="E250" s="19"/>
      <c r="F250" s="27">
        <f>-sum(66.46,72,-15,6)</f>
        <v>-129.46</v>
      </c>
      <c r="G250" s="27"/>
      <c r="H250" s="27">
        <v>-12.8</v>
      </c>
      <c r="I250" s="19"/>
      <c r="J250" s="27"/>
      <c r="K250" s="19"/>
      <c r="L250" s="19"/>
      <c r="M250" s="30"/>
      <c r="N250" s="3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26">
        <v>44798.0</v>
      </c>
      <c r="B251" s="19"/>
      <c r="C251" s="27"/>
      <c r="D251" s="19"/>
      <c r="E251" s="27"/>
      <c r="F251" s="27">
        <v>-24.0</v>
      </c>
      <c r="G251" s="27">
        <v>-370.0</v>
      </c>
      <c r="H251" s="27">
        <v>-51.39</v>
      </c>
      <c r="I251" s="27">
        <v>-66.7</v>
      </c>
      <c r="J251" s="19"/>
      <c r="K251" s="27"/>
      <c r="L251" s="27"/>
      <c r="M251" s="30"/>
      <c r="N251" s="3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26">
        <v>44799.0</v>
      </c>
      <c r="B252" s="19"/>
      <c r="C252" s="27"/>
      <c r="D252" s="19"/>
      <c r="E252" s="27"/>
      <c r="F252" s="19">
        <f>-sum(60.9,15,23.99,4)</f>
        <v>-103.89</v>
      </c>
      <c r="G252" s="27">
        <v>-64.99</v>
      </c>
      <c r="H252" s="19">
        <f>-sum(9.45)</f>
        <v>-9.45</v>
      </c>
      <c r="I252" s="27">
        <v>-35.15</v>
      </c>
      <c r="J252" s="19"/>
      <c r="K252" s="19"/>
      <c r="L252" s="27">
        <v>-210.6</v>
      </c>
      <c r="M252" s="30"/>
      <c r="N252" s="3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26">
        <v>44800.0</v>
      </c>
      <c r="B253" s="19"/>
      <c r="C253" s="27"/>
      <c r="D253" s="19"/>
      <c r="E253" s="19"/>
      <c r="F253" s="19">
        <f>-sum(128,256,135)</f>
        <v>-519</v>
      </c>
      <c r="G253" s="27"/>
      <c r="H253" s="27">
        <v>-69.44</v>
      </c>
      <c r="I253" s="19"/>
      <c r="J253" s="19"/>
      <c r="K253" s="19"/>
      <c r="L253" s="19"/>
      <c r="M253" s="30"/>
      <c r="N253" s="3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26">
        <v>44801.0</v>
      </c>
      <c r="B254" s="19"/>
      <c r="C254" s="27"/>
      <c r="D254" s="19"/>
      <c r="E254" s="27"/>
      <c r="F254" s="19">
        <f>-sum(4,8.78)</f>
        <v>-12.78</v>
      </c>
      <c r="G254" s="19"/>
      <c r="H254" s="19">
        <f>-sum(17.64,24.98)</f>
        <v>-42.62</v>
      </c>
      <c r="I254" s="19"/>
      <c r="J254" s="19"/>
      <c r="K254" s="19"/>
      <c r="L254" s="19"/>
      <c r="M254" s="30"/>
      <c r="N254" s="3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26">
        <v>44802.0</v>
      </c>
      <c r="B255" s="19"/>
      <c r="C255" s="27"/>
      <c r="D255" s="19"/>
      <c r="E255" s="19"/>
      <c r="F255" s="27"/>
      <c r="G255" s="19"/>
      <c r="H255" s="19"/>
      <c r="I255" s="19"/>
      <c r="J255" s="27"/>
      <c r="K255" s="19"/>
      <c r="L255" s="19"/>
      <c r="M255" s="30"/>
      <c r="N255" s="3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26">
        <v>44803.0</v>
      </c>
      <c r="B256" s="19"/>
      <c r="C256" s="27"/>
      <c r="D256" s="19"/>
      <c r="E256" s="19"/>
      <c r="F256" s="27">
        <f>-sum(3214.79,255.48,7.66)</f>
        <v>-3477.93</v>
      </c>
      <c r="G256" s="19"/>
      <c r="H256" s="19"/>
      <c r="I256" s="27">
        <v>-16.0</v>
      </c>
      <c r="J256" s="19"/>
      <c r="K256" s="19"/>
      <c r="L256" s="19"/>
      <c r="M256" s="30"/>
      <c r="N256" s="3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26">
        <v>44804.0</v>
      </c>
      <c r="B257" s="19"/>
      <c r="C257" s="27"/>
      <c r="D257" s="19"/>
      <c r="E257" s="19"/>
      <c r="F257" s="27"/>
      <c r="G257" s="27">
        <v>-9.99</v>
      </c>
      <c r="H257" s="19">
        <f>-sum(7.5,2.56,14,31.28)</f>
        <v>-55.34</v>
      </c>
      <c r="I257" s="19"/>
      <c r="J257" s="19"/>
      <c r="K257" s="19"/>
      <c r="L257" s="27">
        <v>65.16</v>
      </c>
      <c r="M257" s="30"/>
      <c r="N257" s="3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26">
        <v>44805.0</v>
      </c>
      <c r="B258" s="19"/>
      <c r="C258" s="27"/>
      <c r="D258" s="19"/>
      <c r="E258" s="19"/>
      <c r="F258" s="27">
        <f>-sum(3.52,29.98,14)</f>
        <v>-47.5</v>
      </c>
      <c r="G258" s="27"/>
      <c r="H258" s="19"/>
      <c r="I258" s="19"/>
      <c r="J258" s="19"/>
      <c r="K258" s="19"/>
      <c r="L258" s="19"/>
      <c r="M258" s="30"/>
      <c r="N258" s="3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26">
        <v>44806.0</v>
      </c>
      <c r="B259" s="19"/>
      <c r="C259" s="27"/>
      <c r="D259" s="19"/>
      <c r="E259" s="19"/>
      <c r="F259" s="27">
        <v>-54.0</v>
      </c>
      <c r="G259" s="27"/>
      <c r="H259" s="19">
        <f>sum(11.8,5.82,20.53)</f>
        <v>38.15</v>
      </c>
      <c r="I259" s="19"/>
      <c r="J259" s="19"/>
      <c r="K259" s="19"/>
      <c r="L259" s="27">
        <v>-116.6</v>
      </c>
      <c r="M259" s="30"/>
      <c r="N259" s="3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26">
        <v>44807.0</v>
      </c>
      <c r="B260" s="19"/>
      <c r="C260" s="27"/>
      <c r="D260" s="19"/>
      <c r="E260" s="19"/>
      <c r="F260" s="19">
        <f>-sum(5,12.2,10.55,14.17)</f>
        <v>-41.92</v>
      </c>
      <c r="G260" s="27"/>
      <c r="H260" s="19"/>
      <c r="I260" s="19"/>
      <c r="J260" s="19"/>
      <c r="K260" s="27"/>
      <c r="L260" s="19"/>
      <c r="M260" s="30"/>
      <c r="N260" s="3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26">
        <v>44808.0</v>
      </c>
      <c r="B261" s="19"/>
      <c r="C261" s="27"/>
      <c r="D261" s="19"/>
      <c r="E261" s="27"/>
      <c r="F261" s="27"/>
      <c r="G261" s="19"/>
      <c r="H261" s="19">
        <f>-sum(5,17.5,36.6)</f>
        <v>-59.1</v>
      </c>
      <c r="I261" s="27">
        <v>-24.3</v>
      </c>
      <c r="J261" s="19"/>
      <c r="K261" s="19"/>
      <c r="L261" s="19"/>
      <c r="M261" s="30"/>
      <c r="N261" s="3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26">
        <v>44809.0</v>
      </c>
      <c r="B262" s="19"/>
      <c r="C262" s="27"/>
      <c r="D262" s="19"/>
      <c r="E262" s="19"/>
      <c r="F262" s="27"/>
      <c r="G262" s="27">
        <v>-2.05</v>
      </c>
      <c r="H262" s="19"/>
      <c r="I262" s="27">
        <v>-34.0</v>
      </c>
      <c r="J262" s="19"/>
      <c r="K262" s="19"/>
      <c r="L262" s="19"/>
      <c r="M262" s="30"/>
      <c r="N262" s="3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26">
        <v>44810.0</v>
      </c>
      <c r="B263" s="19"/>
      <c r="C263" s="27"/>
      <c r="D263" s="19"/>
      <c r="E263" s="27"/>
      <c r="F263" s="27">
        <v>-304.3</v>
      </c>
      <c r="G263" s="27">
        <v>-29.17</v>
      </c>
      <c r="H263" s="19">
        <f>-sum(37.53,38.6)</f>
        <v>-76.13</v>
      </c>
      <c r="I263" s="19"/>
      <c r="J263" s="19"/>
      <c r="K263" s="19">
        <f>-sum(550,1385)</f>
        <v>-1935</v>
      </c>
      <c r="L263" s="1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26">
        <v>44811.0</v>
      </c>
      <c r="B264" s="19"/>
      <c r="C264" s="27"/>
      <c r="D264" s="19"/>
      <c r="E264" s="19"/>
      <c r="F264" s="27">
        <v>-140.0</v>
      </c>
      <c r="G264" s="19"/>
      <c r="H264" s="27">
        <f>-sum(14.35,32.3,63.59)</f>
        <v>-110.24</v>
      </c>
      <c r="I264" s="19"/>
      <c r="J264" s="19"/>
      <c r="K264" s="27"/>
      <c r="L264" s="1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26">
        <v>44812.0</v>
      </c>
      <c r="B265" s="19"/>
      <c r="C265" s="27"/>
      <c r="D265" s="19"/>
      <c r="E265" s="27"/>
      <c r="F265" s="27">
        <f>-sum(265.3,25)</f>
        <v>-290.3</v>
      </c>
      <c r="G265" s="19"/>
      <c r="H265" s="19">
        <f>-sum(21.75,23,4.99)</f>
        <v>-49.74</v>
      </c>
      <c r="I265" s="27">
        <v>-34.35</v>
      </c>
      <c r="J265" s="19"/>
      <c r="K265" s="19"/>
      <c r="L265" s="1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26">
        <v>44813.0</v>
      </c>
      <c r="B266" s="19"/>
      <c r="C266" s="27"/>
      <c r="D266" s="19"/>
      <c r="E266" s="27"/>
      <c r="F266" s="19">
        <v>0.7</v>
      </c>
      <c r="G266" s="19"/>
      <c r="H266" s="19">
        <f>-sum(13.64)</f>
        <v>-13.64</v>
      </c>
      <c r="I266" s="19"/>
      <c r="J266" s="19"/>
      <c r="K266" s="19"/>
      <c r="L266" s="27">
        <v>-116.6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26">
        <v>44814.0</v>
      </c>
      <c r="B267" s="19"/>
      <c r="C267" s="27"/>
      <c r="D267" s="19"/>
      <c r="E267" s="27"/>
      <c r="F267" s="27">
        <v>-53.97</v>
      </c>
      <c r="G267" s="27"/>
      <c r="H267" s="19">
        <f>-sum(10,6.5,29,11,7.2,22)</f>
        <v>-85.7</v>
      </c>
      <c r="I267" s="19"/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26">
        <v>44815.0</v>
      </c>
      <c r="B268" s="19"/>
      <c r="C268" s="27"/>
      <c r="D268" s="19"/>
      <c r="E268" s="27"/>
      <c r="F268" s="27"/>
      <c r="G268" s="19"/>
      <c r="H268" s="19"/>
      <c r="I268" s="19"/>
      <c r="J268" s="19"/>
      <c r="K268" s="19"/>
      <c r="L268" s="2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26">
        <v>44816.0</v>
      </c>
      <c r="B269" s="19"/>
      <c r="C269" s="27"/>
      <c r="D269" s="19"/>
      <c r="E269" s="19"/>
      <c r="F269" s="27"/>
      <c r="G269" s="19"/>
      <c r="H269" s="27">
        <v>-66.1</v>
      </c>
      <c r="I269" s="19"/>
      <c r="J269" s="19"/>
      <c r="K269" s="19"/>
      <c r="L269" s="2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26">
        <v>44817.0</v>
      </c>
      <c r="B270" s="19"/>
      <c r="C270" s="27"/>
      <c r="D270" s="19"/>
      <c r="E270" s="27"/>
      <c r="F270" s="27">
        <v>-210.0</v>
      </c>
      <c r="G270" s="27"/>
      <c r="H270" s="27">
        <f>-sum(23.98,24.99)</f>
        <v>-48.97</v>
      </c>
      <c r="I270" s="27">
        <v>-29.44</v>
      </c>
      <c r="J270" s="19"/>
      <c r="K270" s="19"/>
      <c r="L270" s="27">
        <v>-76.2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26">
        <v>44818.0</v>
      </c>
      <c r="B271" s="19"/>
      <c r="C271" s="27"/>
      <c r="D271" s="19"/>
      <c r="E271" s="19"/>
      <c r="F271" s="27">
        <v>-44.68</v>
      </c>
      <c r="G271" s="27"/>
      <c r="H271" s="19">
        <f>-sum(30.49,13.75,-39.75)</f>
        <v>-4.49</v>
      </c>
      <c r="I271" s="27">
        <v>-24.53</v>
      </c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26">
        <v>44819.0</v>
      </c>
      <c r="B272" s="19"/>
      <c r="C272" s="27"/>
      <c r="D272" s="19"/>
      <c r="E272" s="19"/>
      <c r="F272" s="27"/>
      <c r="G272" s="27"/>
      <c r="H272" s="27">
        <v>-11.1</v>
      </c>
      <c r="I272" s="27">
        <v>-18.63</v>
      </c>
      <c r="J272" s="19"/>
      <c r="K272" s="19"/>
      <c r="L272" s="1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26">
        <v>44820.0</v>
      </c>
      <c r="B273" s="19"/>
      <c r="C273" s="27"/>
      <c r="D273" s="19"/>
      <c r="E273" s="27"/>
      <c r="F273" s="27">
        <v>-6.0</v>
      </c>
      <c r="G273" s="27"/>
      <c r="H273" s="27">
        <v>-4.0</v>
      </c>
      <c r="I273" s="19"/>
      <c r="J273" s="19"/>
      <c r="K273" s="19"/>
      <c r="L273" s="27">
        <v>-116.6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26">
        <v>44821.0</v>
      </c>
      <c r="B274" s="19"/>
      <c r="C274" s="27"/>
      <c r="D274" s="19"/>
      <c r="E274" s="27"/>
      <c r="F274" s="27">
        <v>-25.0</v>
      </c>
      <c r="G274" s="27"/>
      <c r="H274" s="19"/>
      <c r="I274" s="27">
        <v>-129.7</v>
      </c>
      <c r="J274" s="19"/>
      <c r="K274" s="27"/>
      <c r="L274" s="1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26">
        <v>44822.0</v>
      </c>
      <c r="B275" s="19"/>
      <c r="C275" s="27"/>
      <c r="D275" s="19"/>
      <c r="E275" s="19"/>
      <c r="F275" s="27">
        <v>-79.0</v>
      </c>
      <c r="G275" s="19"/>
      <c r="H275" s="19">
        <f>-sum(38.5,24.8)</f>
        <v>-63.3</v>
      </c>
      <c r="I275" s="27">
        <v>-15.0</v>
      </c>
      <c r="J275" s="19"/>
      <c r="K275" s="19"/>
      <c r="L275" s="1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26">
        <v>44823.0</v>
      </c>
      <c r="B276" s="19"/>
      <c r="C276" s="27"/>
      <c r="D276" s="19"/>
      <c r="E276" s="27"/>
      <c r="F276" s="19"/>
      <c r="G276" s="27">
        <v>-33.5</v>
      </c>
      <c r="H276" s="19">
        <f>-sum(1.45,15.65,24.6,69.99)</f>
        <v>-111.69</v>
      </c>
      <c r="I276" s="27">
        <v>-68.0</v>
      </c>
      <c r="J276" s="19"/>
      <c r="K276" s="19"/>
      <c r="L276" s="1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26">
        <v>44824.0</v>
      </c>
      <c r="B277" s="19"/>
      <c r="C277" s="27"/>
      <c r="D277" s="19"/>
      <c r="E277" s="27"/>
      <c r="F277" s="27">
        <v>-48.67</v>
      </c>
      <c r="G277" s="27">
        <v>-85.2</v>
      </c>
      <c r="H277" s="27">
        <v>-23.7</v>
      </c>
      <c r="I277" s="19"/>
      <c r="J277" s="19"/>
      <c r="K277" s="19"/>
      <c r="L277" s="1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26">
        <v>44825.0</v>
      </c>
      <c r="B278" s="19"/>
      <c r="C278" s="27"/>
      <c r="D278" s="19"/>
      <c r="E278" s="19"/>
      <c r="F278" s="27">
        <f>-sum(17.26,60)</f>
        <v>-77.26</v>
      </c>
      <c r="G278" s="27"/>
      <c r="H278" s="19"/>
      <c r="I278" s="19"/>
      <c r="J278" s="19"/>
      <c r="K278" s="19"/>
      <c r="L278" s="1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26">
        <v>44826.0</v>
      </c>
      <c r="B279" s="19"/>
      <c r="C279" s="27"/>
      <c r="D279" s="19"/>
      <c r="E279" s="19"/>
      <c r="F279" s="27">
        <v>-6.0</v>
      </c>
      <c r="G279" s="27"/>
      <c r="H279" s="19"/>
      <c r="I279" s="19"/>
      <c r="J279" s="19"/>
      <c r="K279" s="19"/>
      <c r="L279" s="1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26">
        <v>44827.0</v>
      </c>
      <c r="B280" s="19"/>
      <c r="C280" s="27"/>
      <c r="D280" s="19"/>
      <c r="E280" s="19"/>
      <c r="F280" s="27">
        <v>-34.35</v>
      </c>
      <c r="G280" s="27"/>
      <c r="H280" s="19">
        <f>-sum(105.97,29.6)</f>
        <v>-135.57</v>
      </c>
      <c r="I280" s="27">
        <v>-56.03</v>
      </c>
      <c r="J280" s="19"/>
      <c r="K280" s="19"/>
      <c r="L280" s="27">
        <v>-58.3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26">
        <v>44828.0</v>
      </c>
      <c r="B281" s="19"/>
      <c r="C281" s="27"/>
      <c r="D281" s="19"/>
      <c r="E281" s="19"/>
      <c r="F281" s="19"/>
      <c r="G281" s="27"/>
      <c r="H281" s="19"/>
      <c r="I281" s="19">
        <f>-sum(78,8)</f>
        <v>-86</v>
      </c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26">
        <v>44829.0</v>
      </c>
      <c r="B282" s="19"/>
      <c r="C282" s="27"/>
      <c r="D282" s="19"/>
      <c r="E282" s="27"/>
      <c r="F282" s="27"/>
      <c r="G282" s="19"/>
      <c r="H282" s="19">
        <f>-sum(28,7,5.12,49,12.43)</f>
        <v>-101.55</v>
      </c>
      <c r="I282" s="19">
        <f>-sum(54,7)</f>
        <v>-61</v>
      </c>
      <c r="J282" s="19"/>
      <c r="K282" s="19"/>
      <c r="L282" s="2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26">
        <v>44830.0</v>
      </c>
      <c r="B283" s="19"/>
      <c r="C283" s="27"/>
      <c r="D283" s="19"/>
      <c r="E283" s="19"/>
      <c r="F283" s="27">
        <v>-56.97</v>
      </c>
      <c r="G283" s="27">
        <f>-sum(64.99,40.03)</f>
        <v>-105.02</v>
      </c>
      <c r="H283" s="19"/>
      <c r="I283" s="19"/>
      <c r="J283" s="19"/>
      <c r="K283" s="19"/>
      <c r="L283" s="1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26">
        <v>44831.0</v>
      </c>
      <c r="B284" s="19"/>
      <c r="C284" s="27"/>
      <c r="D284" s="19"/>
      <c r="E284" s="19"/>
      <c r="F284" s="27">
        <v>-15.0</v>
      </c>
      <c r="G284" s="19"/>
      <c r="H284" s="27">
        <v>-8.98</v>
      </c>
      <c r="I284" s="19"/>
      <c r="J284" s="19"/>
      <c r="K284" s="19"/>
      <c r="L284" s="27">
        <v>-38.01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26">
        <v>44832.0</v>
      </c>
      <c r="B285" s="19"/>
      <c r="C285" s="27"/>
      <c r="D285" s="19"/>
      <c r="E285" s="27">
        <v>-10.0</v>
      </c>
      <c r="F285" s="27"/>
      <c r="G285" s="19"/>
      <c r="H285" s="19"/>
      <c r="I285" s="27">
        <v>-4.0</v>
      </c>
      <c r="J285" s="27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26">
        <v>44833.0</v>
      </c>
      <c r="B286" s="19"/>
      <c r="C286" s="27"/>
      <c r="D286" s="19"/>
      <c r="E286" s="27"/>
      <c r="F286" s="27">
        <v>-25.0</v>
      </c>
      <c r="G286" s="27"/>
      <c r="H286" s="19"/>
      <c r="I286" s="19">
        <v>14.01</v>
      </c>
      <c r="J286" s="19"/>
      <c r="K286" s="19"/>
      <c r="L286" s="1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26">
        <v>44834.0</v>
      </c>
      <c r="B287" s="19"/>
      <c r="C287" s="27"/>
      <c r="D287" s="19"/>
      <c r="E287" s="27"/>
      <c r="F287" s="27">
        <f>-sum(42,-19.5)</f>
        <v>-22.5</v>
      </c>
      <c r="G287" s="27">
        <v>-418.8</v>
      </c>
      <c r="H287" s="19"/>
      <c r="I287" s="19"/>
      <c r="J287" s="19"/>
      <c r="K287" s="19"/>
      <c r="L287" s="27">
        <v>-116.6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26">
        <v>44835.0</v>
      </c>
      <c r="B288" s="19"/>
      <c r="C288" s="27"/>
      <c r="D288" s="19"/>
      <c r="E288" s="27">
        <v>-4.2</v>
      </c>
      <c r="F288" s="27"/>
      <c r="G288" s="27">
        <v>-9.99</v>
      </c>
      <c r="H288" s="19"/>
      <c r="I288" s="19"/>
      <c r="J288" s="19"/>
      <c r="K288" s="27"/>
      <c r="L288" s="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26">
        <v>44836.0</v>
      </c>
      <c r="B289" s="19"/>
      <c r="C289" s="27"/>
      <c r="D289" s="19"/>
      <c r="E289" s="27"/>
      <c r="F289" s="27"/>
      <c r="G289" s="19"/>
      <c r="H289" s="19">
        <f>-sum(32.6,30.16)</f>
        <v>-62.76</v>
      </c>
      <c r="I289" s="19"/>
      <c r="J289" s="19"/>
      <c r="K289" s="19"/>
      <c r="L289" s="1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26">
        <v>44837.0</v>
      </c>
      <c r="B290" s="19"/>
      <c r="C290" s="27"/>
      <c r="D290" s="19"/>
      <c r="E290" s="19"/>
      <c r="F290" s="27"/>
      <c r="G290" s="27">
        <v>-33.5</v>
      </c>
      <c r="H290" s="19"/>
      <c r="I290" s="19"/>
      <c r="J290" s="19"/>
      <c r="K290" s="19"/>
      <c r="L290" s="2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26">
        <v>44838.0</v>
      </c>
      <c r="B291" s="19"/>
      <c r="C291" s="27"/>
      <c r="D291" s="19"/>
      <c r="E291" s="19"/>
      <c r="F291" s="27"/>
      <c r="G291" s="27"/>
      <c r="H291" s="19"/>
      <c r="I291" s="19"/>
      <c r="J291" s="19"/>
      <c r="K291" s="19"/>
      <c r="L291" s="2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26">
        <v>44839.0</v>
      </c>
      <c r="B292" s="19"/>
      <c r="C292" s="27"/>
      <c r="D292" s="19"/>
      <c r="E292" s="19"/>
      <c r="F292" s="27">
        <v>23.03</v>
      </c>
      <c r="G292" s="27">
        <v>-29.27</v>
      </c>
      <c r="H292" s="27">
        <v>-32.1</v>
      </c>
      <c r="I292" s="27">
        <v>-10.8</v>
      </c>
      <c r="J292" s="19"/>
      <c r="K292" s="27"/>
      <c r="L292" s="1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26">
        <v>44840.0</v>
      </c>
      <c r="B293" s="19"/>
      <c r="C293" s="27"/>
      <c r="D293" s="19"/>
      <c r="E293" s="27"/>
      <c r="F293" s="19"/>
      <c r="G293" s="27">
        <v>-111.54</v>
      </c>
      <c r="H293" s="19"/>
      <c r="I293" s="19"/>
      <c r="J293" s="19"/>
      <c r="K293" s="27">
        <f>-sum(550,1385)</f>
        <v>-1935</v>
      </c>
      <c r="L293" s="19"/>
      <c r="M293" s="8"/>
      <c r="N293" s="8"/>
      <c r="O293" s="29"/>
      <c r="P293" s="29"/>
      <c r="Q293" s="29"/>
      <c r="R293" s="29"/>
      <c r="S293" s="29"/>
      <c r="T293" s="29"/>
      <c r="U293" s="29"/>
      <c r="V293" s="29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26">
        <v>44841.0</v>
      </c>
      <c r="B294" s="19"/>
      <c r="C294" s="27"/>
      <c r="D294" s="19"/>
      <c r="E294" s="27">
        <v>-20.0</v>
      </c>
      <c r="F294" s="27">
        <v>-19.95</v>
      </c>
      <c r="G294" s="19"/>
      <c r="H294" s="27">
        <v>50.95</v>
      </c>
      <c r="I294" s="27">
        <v>-42.5</v>
      </c>
      <c r="J294" s="19"/>
      <c r="K294" s="19"/>
      <c r="L294" s="27">
        <v>-116.6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26">
        <v>44842.0</v>
      </c>
      <c r="B295" s="19"/>
      <c r="C295" s="27"/>
      <c r="D295" s="19"/>
      <c r="E295" s="27"/>
      <c r="F295" s="27"/>
      <c r="G295" s="27"/>
      <c r="H295" s="27">
        <f>-sum(15.6,2.7,14.8,18.06,15.6)</f>
        <v>-66.76</v>
      </c>
      <c r="I295" s="27">
        <v>-11.4</v>
      </c>
      <c r="J295" s="19"/>
      <c r="K295" s="19"/>
      <c r="L295" s="1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26">
        <v>44843.0</v>
      </c>
      <c r="B296" s="19"/>
      <c r="C296" s="27"/>
      <c r="D296" s="19"/>
      <c r="E296" s="19"/>
      <c r="F296" s="27"/>
      <c r="G296" s="27"/>
      <c r="H296" s="27">
        <v>-41.72</v>
      </c>
      <c r="I296" s="27">
        <v>-76.0</v>
      </c>
      <c r="J296" s="19"/>
      <c r="K296" s="19"/>
      <c r="L296" s="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26">
        <v>44844.0</v>
      </c>
      <c r="B297" s="19"/>
      <c r="C297" s="27"/>
      <c r="D297" s="19"/>
      <c r="E297" s="27"/>
      <c r="F297" s="27"/>
      <c r="G297" s="27"/>
      <c r="I297" s="27">
        <v>-8.08</v>
      </c>
      <c r="J297" s="19"/>
      <c r="K297" s="19"/>
      <c r="L297" s="1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26">
        <v>44845.0</v>
      </c>
      <c r="B298" s="19"/>
      <c r="C298" s="27"/>
      <c r="D298" s="19"/>
      <c r="E298" s="27">
        <v>-37.1</v>
      </c>
      <c r="F298" s="27">
        <v>-25.0</v>
      </c>
      <c r="G298" s="19"/>
      <c r="H298" s="19"/>
      <c r="I298" s="19"/>
      <c r="J298" s="19"/>
      <c r="K298" s="19"/>
      <c r="L298" s="27">
        <v>-38.01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26">
        <v>44846.0</v>
      </c>
      <c r="B299" s="19"/>
      <c r="C299" s="27"/>
      <c r="D299" s="19"/>
      <c r="E299" s="27"/>
      <c r="F299" s="27"/>
      <c r="G299" s="27"/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26">
        <v>44847.0</v>
      </c>
      <c r="B300" s="19"/>
      <c r="C300" s="27"/>
      <c r="D300" s="19"/>
      <c r="E300" s="19"/>
      <c r="F300" s="27">
        <v>-9.0</v>
      </c>
      <c r="G300" s="27"/>
      <c r="H300" s="19"/>
      <c r="I300" s="19"/>
      <c r="J300" s="19"/>
      <c r="K300" s="19"/>
      <c r="L300" s="1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26">
        <v>44848.0</v>
      </c>
      <c r="B301" s="19"/>
      <c r="C301" s="27"/>
      <c r="D301" s="19"/>
      <c r="E301" s="27"/>
      <c r="F301" s="27">
        <f>-sum(43.48,68.95)</f>
        <v>-112.43</v>
      </c>
      <c r="G301" s="27">
        <v>-692.5</v>
      </c>
      <c r="H301" s="27">
        <f>-sum(48.48,39.05)</f>
        <v>-87.53</v>
      </c>
      <c r="I301" s="19"/>
      <c r="J301" s="19"/>
      <c r="K301" s="19"/>
      <c r="L301" s="27">
        <v>-116.6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26">
        <v>44849.0</v>
      </c>
      <c r="B302" s="19"/>
      <c r="C302" s="27"/>
      <c r="D302" s="19"/>
      <c r="E302" s="27"/>
      <c r="F302" s="27">
        <f>-sum(183,45)</f>
        <v>-228</v>
      </c>
      <c r="G302" s="27"/>
      <c r="H302" s="19"/>
      <c r="I302" s="19">
        <f>-sum(26.5,8)</f>
        <v>-34.5</v>
      </c>
      <c r="J302" s="19"/>
      <c r="K302" s="19"/>
      <c r="L302" s="1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26">
        <v>44850.0</v>
      </c>
      <c r="B303" s="19"/>
      <c r="C303" s="27"/>
      <c r="D303" s="19"/>
      <c r="E303" s="27"/>
      <c r="F303" s="27">
        <v>-65.0</v>
      </c>
      <c r="G303" s="19"/>
      <c r="H303" s="19">
        <f>-sum(9.75,69.38,88.7)</f>
        <v>-167.83</v>
      </c>
      <c r="I303" s="27">
        <v>-7.0</v>
      </c>
      <c r="J303" s="19"/>
      <c r="K303" s="19"/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26">
        <v>44851.0</v>
      </c>
      <c r="B304" s="19"/>
      <c r="C304" s="27"/>
      <c r="D304" s="19"/>
      <c r="E304" s="19"/>
      <c r="F304" s="19"/>
      <c r="G304" s="27">
        <v>-33.5</v>
      </c>
      <c r="H304" s="19"/>
      <c r="I304" s="19"/>
      <c r="J304" s="19"/>
      <c r="K304" s="19"/>
      <c r="L304" s="1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26">
        <v>44852.0</v>
      </c>
      <c r="B305" s="19"/>
      <c r="C305" s="27"/>
      <c r="D305" s="19"/>
      <c r="E305" s="19"/>
      <c r="F305" s="27">
        <v>-25.0</v>
      </c>
      <c r="G305" s="27"/>
      <c r="H305" s="19">
        <f>-sum(34.75,28.53,65.44)</f>
        <v>-128.72</v>
      </c>
      <c r="I305" s="19"/>
      <c r="J305" s="19"/>
      <c r="K305" s="19"/>
      <c r="L305" s="1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26">
        <v>44853.0</v>
      </c>
      <c r="B306" s="19"/>
      <c r="C306" s="27"/>
      <c r="D306" s="19"/>
      <c r="E306" s="27">
        <v>-20.0</v>
      </c>
      <c r="F306" s="27">
        <f>-sum(108,8,60)</f>
        <v>-176</v>
      </c>
      <c r="G306" s="19"/>
      <c r="H306" s="19">
        <f>-sum(32,14)</f>
        <v>-46</v>
      </c>
      <c r="I306" s="19"/>
      <c r="J306" s="19"/>
      <c r="K306" s="19"/>
      <c r="L306" s="1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26">
        <v>44854.0</v>
      </c>
      <c r="B307" s="19"/>
      <c r="C307" s="27"/>
      <c r="D307" s="19"/>
      <c r="E307" s="27"/>
      <c r="F307" s="27"/>
      <c r="G307" s="19"/>
      <c r="H307" s="27">
        <v>-16.75</v>
      </c>
      <c r="I307" s="19"/>
      <c r="J307" s="19"/>
      <c r="K307" s="19"/>
      <c r="L307" s="1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26">
        <v>44855.0</v>
      </c>
      <c r="B308" s="19"/>
      <c r="C308" s="27"/>
      <c r="D308" s="19"/>
      <c r="E308" s="19"/>
      <c r="F308" s="27">
        <v>-36.45</v>
      </c>
      <c r="G308" s="27">
        <v>63.48</v>
      </c>
      <c r="H308" s="19">
        <v>45.8</v>
      </c>
      <c r="I308" s="19">
        <f>-sum(30)</f>
        <v>-30</v>
      </c>
      <c r="J308" s="19"/>
      <c r="K308" s="27"/>
      <c r="L308" s="27">
        <v>-116.6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26">
        <v>44856.0</v>
      </c>
      <c r="B309" s="19"/>
      <c r="C309" s="27"/>
      <c r="D309" s="19"/>
      <c r="E309" s="27"/>
      <c r="F309" s="27">
        <v>-15.17</v>
      </c>
      <c r="G309" s="19"/>
      <c r="H309" s="19"/>
      <c r="I309" s="19"/>
      <c r="J309" s="27"/>
      <c r="K309" s="19"/>
      <c r="L309" s="1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26">
        <v>44857.0</v>
      </c>
      <c r="B310" s="19"/>
      <c r="C310" s="27"/>
      <c r="D310" s="19"/>
      <c r="E310" s="19"/>
      <c r="F310" s="27">
        <f>-sum(34.02,52)</f>
        <v>-86.02</v>
      </c>
      <c r="G310" s="27"/>
      <c r="H310" s="19"/>
      <c r="I310" s="19">
        <f>-sum(14.5,81.2)</f>
        <v>-95.7</v>
      </c>
      <c r="J310" s="19"/>
      <c r="K310" s="19"/>
      <c r="L310" s="1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26">
        <v>44858.0</v>
      </c>
      <c r="B311" s="19"/>
      <c r="C311" s="27"/>
      <c r="D311" s="19"/>
      <c r="E311" s="27"/>
      <c r="F311" s="27"/>
      <c r="G311" s="27">
        <v>40.3</v>
      </c>
      <c r="H311" s="19"/>
      <c r="I311" s="19"/>
      <c r="J311" s="19"/>
      <c r="K311" s="27"/>
      <c r="L311" s="1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26">
        <v>44859.0</v>
      </c>
      <c r="B312" s="19"/>
      <c r="C312" s="27"/>
      <c r="D312" s="19"/>
      <c r="E312" s="27"/>
      <c r="F312" s="27"/>
      <c r="G312" s="27"/>
      <c r="H312" s="19"/>
      <c r="I312" s="19"/>
      <c r="J312" s="19"/>
      <c r="K312" s="19"/>
      <c r="L312" s="1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26">
        <v>44860.0</v>
      </c>
      <c r="B313" s="19"/>
      <c r="C313" s="27"/>
      <c r="D313" s="19"/>
      <c r="E313" s="19"/>
      <c r="F313" s="27"/>
      <c r="G313" s="27">
        <v>-64.99</v>
      </c>
      <c r="H313" s="19"/>
      <c r="I313" s="19"/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26">
        <v>44861.0</v>
      </c>
      <c r="B314" s="19"/>
      <c r="C314" s="27"/>
      <c r="D314" s="19"/>
      <c r="E314" s="27"/>
      <c r="F314" s="27"/>
      <c r="G314" s="27"/>
      <c r="H314" s="19"/>
      <c r="I314" s="19"/>
      <c r="J314" s="19"/>
      <c r="K314" s="19"/>
      <c r="L314" s="1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26">
        <v>44862.0</v>
      </c>
      <c r="B315" s="19"/>
      <c r="C315" s="27"/>
      <c r="D315" s="19"/>
      <c r="E315" s="19"/>
      <c r="F315" s="19"/>
      <c r="G315" s="27"/>
      <c r="H315" s="27">
        <v>-15.91</v>
      </c>
      <c r="I315" s="19"/>
      <c r="J315" s="19"/>
      <c r="K315" s="19"/>
      <c r="L315" s="27">
        <v>-116.6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26">
        <v>44863.0</v>
      </c>
      <c r="B316" s="19"/>
      <c r="C316" s="27"/>
      <c r="D316" s="19"/>
      <c r="E316" s="27"/>
      <c r="F316" s="19">
        <f>-sum(8,10.5,1.99,140)</f>
        <v>-160.49</v>
      </c>
      <c r="G316" s="27"/>
      <c r="H316" s="19"/>
      <c r="I316" s="19"/>
      <c r="J316" s="19"/>
      <c r="K316" s="19"/>
      <c r="L316" s="1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26">
        <v>44864.0</v>
      </c>
      <c r="B317" s="19"/>
      <c r="C317" s="27"/>
      <c r="D317" s="19"/>
      <c r="E317" s="19"/>
      <c r="F317" s="27">
        <f>-sum(4,35,20,36,8)</f>
        <v>-103</v>
      </c>
      <c r="G317" s="27"/>
      <c r="H317" s="19"/>
      <c r="I317" s="19">
        <f>-sum(109.2,72)</f>
        <v>-181.2</v>
      </c>
      <c r="J317" s="19"/>
      <c r="K317" s="19"/>
      <c r="L317" s="1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26">
        <v>44865.0</v>
      </c>
      <c r="B318" s="19"/>
      <c r="C318" s="27"/>
      <c r="D318" s="19"/>
      <c r="E318" s="27"/>
      <c r="F318" s="27">
        <f>-sum(23.06,100,207.98)</f>
        <v>-331.04</v>
      </c>
      <c r="G318" s="27">
        <v>-33.5</v>
      </c>
      <c r="H318" s="19"/>
      <c r="I318" s="19"/>
      <c r="J318" s="19"/>
      <c r="K318" s="19"/>
      <c r="L318" s="1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26">
        <v>44866.0</v>
      </c>
      <c r="B319" s="19"/>
      <c r="C319" s="27"/>
      <c r="D319" s="19"/>
      <c r="E319" s="27">
        <v>-14.0</v>
      </c>
      <c r="F319" s="27">
        <f>-sum(6,16.5)</f>
        <v>-22.5</v>
      </c>
      <c r="G319" s="27">
        <v>-9.99</v>
      </c>
      <c r="H319" s="19"/>
      <c r="I319" s="19"/>
      <c r="J319" s="19"/>
      <c r="K319" s="19"/>
      <c r="L319" s="1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26">
        <v>44867.0</v>
      </c>
      <c r="B320" s="19"/>
      <c r="C320" s="27"/>
      <c r="D320" s="19"/>
      <c r="E320" s="19"/>
      <c r="F320" s="19"/>
      <c r="G320" s="19"/>
      <c r="H320" s="19"/>
      <c r="I320" s="27">
        <v>-8.5</v>
      </c>
      <c r="J320" s="19"/>
      <c r="K320" s="19"/>
      <c r="L320" s="1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26">
        <v>44868.0</v>
      </c>
      <c r="B321" s="19"/>
      <c r="C321" s="27"/>
      <c r="D321" s="19"/>
      <c r="E321" s="27"/>
      <c r="F321" s="27">
        <v>-127.8</v>
      </c>
      <c r="G321" s="27"/>
      <c r="H321" s="19"/>
      <c r="I321" s="19"/>
      <c r="J321" s="19"/>
      <c r="K321" s="19"/>
      <c r="L321" s="1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26">
        <v>44869.0</v>
      </c>
      <c r="B322" s="19"/>
      <c r="C322" s="27"/>
      <c r="D322" s="19"/>
      <c r="E322" s="27"/>
      <c r="F322" s="19"/>
      <c r="G322" s="27">
        <v>-286.91</v>
      </c>
      <c r="H322" s="19"/>
      <c r="I322" s="19"/>
      <c r="J322" s="19"/>
      <c r="K322" s="27"/>
      <c r="L322" s="27">
        <v>-116.6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26">
        <v>44870.0</v>
      </c>
      <c r="B323" s="19"/>
      <c r="C323" s="27"/>
      <c r="D323" s="19"/>
      <c r="E323" s="27">
        <v>-2.0</v>
      </c>
      <c r="F323" s="27">
        <v>-115.5</v>
      </c>
      <c r="G323" s="27"/>
      <c r="H323" s="19"/>
      <c r="I323" s="19">
        <f>-sum(13.5,24.01,66.9)</f>
        <v>-104.41</v>
      </c>
      <c r="J323" s="19"/>
      <c r="K323" s="27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26">
        <v>44871.0</v>
      </c>
      <c r="B324" s="19"/>
      <c r="C324" s="27"/>
      <c r="D324" s="19"/>
      <c r="E324" s="27">
        <v>-8.0</v>
      </c>
      <c r="F324" s="19"/>
      <c r="G324" s="19"/>
      <c r="H324" s="19">
        <f>-sum(2.8,13.5)</f>
        <v>-16.3</v>
      </c>
      <c r="I324" s="27">
        <v>-106.95</v>
      </c>
      <c r="J324" s="19"/>
      <c r="K324" s="19"/>
      <c r="L324" s="1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26">
        <v>44872.0</v>
      </c>
      <c r="B325" s="19"/>
      <c r="C325" s="27"/>
      <c r="D325" s="19"/>
      <c r="E325" s="27"/>
      <c r="F325" s="27">
        <v>-459.0</v>
      </c>
      <c r="G325" s="27">
        <v>-29.17</v>
      </c>
      <c r="H325" s="19"/>
      <c r="I325" s="27">
        <v>-5.0</v>
      </c>
      <c r="J325" s="19"/>
      <c r="K325" s="19">
        <f>-sum(550,1385)</f>
        <v>-1935</v>
      </c>
      <c r="L325" s="2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26">
        <v>44873.0</v>
      </c>
      <c r="B326" s="19"/>
      <c r="C326" s="27"/>
      <c r="D326" s="19"/>
      <c r="E326" s="19"/>
      <c r="F326" s="27">
        <f>-sum(79,19.99)</f>
        <v>-98.99</v>
      </c>
      <c r="G326" s="27"/>
      <c r="H326" s="19"/>
      <c r="I326" s="19"/>
      <c r="J326" s="19"/>
      <c r="K326" s="19"/>
      <c r="L326" s="19"/>
      <c r="M326" s="19">
        <f>sum(E321,E324,E328,E332,E337,E342,E347)</f>
        <v>-23.15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26">
        <v>44874.0</v>
      </c>
      <c r="B327" s="19"/>
      <c r="C327" s="27"/>
      <c r="D327" s="19"/>
      <c r="E327" s="27"/>
      <c r="F327" s="27">
        <v>50.18</v>
      </c>
      <c r="G327" s="27"/>
      <c r="H327" s="19"/>
      <c r="I327" s="27">
        <v>-5.75</v>
      </c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26">
        <v>44875.0</v>
      </c>
      <c r="B328" s="19"/>
      <c r="C328" s="27"/>
      <c r="D328" s="19"/>
      <c r="E328" s="27">
        <v>-15.15</v>
      </c>
      <c r="F328" s="27">
        <v>-59.75</v>
      </c>
      <c r="G328" s="27"/>
      <c r="H328" s="19"/>
      <c r="I328" s="19"/>
      <c r="J328" s="19"/>
      <c r="K328" s="27"/>
      <c r="L328" s="1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26">
        <v>44876.0</v>
      </c>
      <c r="B329" s="19"/>
      <c r="C329" s="27"/>
      <c r="D329" s="19"/>
      <c r="E329" s="27"/>
      <c r="F329" s="27">
        <f>-sum(8.3,70)</f>
        <v>-78.3</v>
      </c>
      <c r="G329" s="27"/>
      <c r="H329" s="19"/>
      <c r="I329" s="27">
        <v>-8.08</v>
      </c>
      <c r="J329" s="19"/>
      <c r="K329" s="27"/>
      <c r="L329" s="27">
        <v>-116.6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26">
        <v>44877.0</v>
      </c>
      <c r="B330" s="19"/>
      <c r="C330" s="27"/>
      <c r="D330" s="19"/>
      <c r="E330" s="19"/>
      <c r="F330" s="27">
        <f>-sum(8.3,12.89)</f>
        <v>-21.19</v>
      </c>
      <c r="G330" s="27"/>
      <c r="H330" s="19">
        <f>-sum(16.26,16.2,8.2)</f>
        <v>-40.66</v>
      </c>
      <c r="I330" s="19"/>
      <c r="J330" s="19"/>
      <c r="K330" s="27"/>
      <c r="L330" s="2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26">
        <v>44878.0</v>
      </c>
      <c r="B331" s="19"/>
      <c r="C331" s="27"/>
      <c r="D331" s="19"/>
      <c r="E331" s="27"/>
      <c r="F331" s="19">
        <f>-sum(51,37.98)</f>
        <v>-88.98</v>
      </c>
      <c r="G331" s="19"/>
      <c r="H331" s="19"/>
      <c r="I331" s="27">
        <v>-6.09</v>
      </c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26">
        <v>44879.0</v>
      </c>
      <c r="B332" s="19"/>
      <c r="C332" s="27"/>
      <c r="D332" s="19"/>
      <c r="E332" s="27"/>
      <c r="F332" s="27">
        <v>43.47</v>
      </c>
      <c r="G332" s="27">
        <v>-33.5</v>
      </c>
      <c r="H332" s="19"/>
      <c r="I332" s="19"/>
      <c r="J332" s="19"/>
      <c r="K332" s="19"/>
      <c r="L332" s="1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26">
        <v>44880.0</v>
      </c>
      <c r="B333" s="19"/>
      <c r="C333" s="27"/>
      <c r="D333" s="19"/>
      <c r="E333" s="27"/>
      <c r="F333" s="27">
        <f>-sum(100,2.7,77.98)</f>
        <v>-180.68</v>
      </c>
      <c r="G333" s="27"/>
      <c r="H333" s="19">
        <f>-sum(4.95,4)</f>
        <v>-8.95</v>
      </c>
      <c r="I333" s="19"/>
      <c r="J333" s="19"/>
      <c r="K333" s="19"/>
      <c r="L333" s="1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26">
        <v>44881.0</v>
      </c>
      <c r="B334" s="19"/>
      <c r="C334" s="27"/>
      <c r="D334" s="19"/>
      <c r="E334" s="27"/>
      <c r="F334" s="27">
        <f>-sum(30,60,5.96,8.3,3)</f>
        <v>-107.26</v>
      </c>
      <c r="G334" s="27"/>
      <c r="H334" s="27">
        <v>-32.95</v>
      </c>
      <c r="I334" s="19"/>
      <c r="J334" s="19"/>
      <c r="K334" s="19"/>
      <c r="L334" s="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26">
        <v>44882.0</v>
      </c>
      <c r="B335" s="19"/>
      <c r="C335" s="27"/>
      <c r="D335" s="19"/>
      <c r="E335" s="27">
        <v>-10.0</v>
      </c>
      <c r="F335" s="27">
        <f>-sum(25.68)</f>
        <v>-25.68</v>
      </c>
      <c r="G335" s="19"/>
      <c r="H335" s="19">
        <f>-sum(8.5)</f>
        <v>-8.5</v>
      </c>
      <c r="I335" s="19">
        <f>-sum(13,8.08,16)</f>
        <v>-37.08</v>
      </c>
      <c r="J335" s="19"/>
      <c r="K335" s="19"/>
      <c r="L335" s="1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26">
        <v>44883.0</v>
      </c>
      <c r="B336" s="19"/>
      <c r="C336" s="27"/>
      <c r="D336" s="19"/>
      <c r="E336" s="27"/>
      <c r="F336" s="27"/>
      <c r="G336" s="19"/>
      <c r="H336" s="19"/>
      <c r="I336" s="19">
        <f>-sum(6.7,24)</f>
        <v>-30.7</v>
      </c>
      <c r="J336" s="19"/>
      <c r="K336" s="19"/>
      <c r="L336" s="27">
        <v>-116.6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26">
        <v>44884.0</v>
      </c>
      <c r="B337" s="19"/>
      <c r="C337" s="27"/>
      <c r="D337" s="19"/>
      <c r="E337" s="27"/>
      <c r="F337" s="19">
        <f>-sum(66,56.09,359.33,465.02)</f>
        <v>-946.44</v>
      </c>
      <c r="G337" s="27"/>
      <c r="H337" s="19">
        <f>-sum(15.48,19.99)</f>
        <v>-35.47</v>
      </c>
      <c r="I337" s="19">
        <f>-sum(41)</f>
        <v>-41</v>
      </c>
      <c r="J337" s="19"/>
      <c r="K337" s="19"/>
      <c r="L337" s="2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26">
        <v>44885.0</v>
      </c>
      <c r="B338" s="19"/>
      <c r="C338" s="27"/>
      <c r="D338" s="19"/>
      <c r="E338" s="27"/>
      <c r="F338" s="27">
        <v>-1000.0</v>
      </c>
      <c r="G338" s="19"/>
      <c r="H338" s="27">
        <f>-sum(8.34,150.11,37.97)</f>
        <v>-196.42</v>
      </c>
      <c r="I338" s="19"/>
      <c r="J338" s="19">
        <f>-sum(1000,1000)</f>
        <v>-2000</v>
      </c>
      <c r="K338" s="19"/>
      <c r="L338" s="2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26">
        <v>44886.0</v>
      </c>
      <c r="B339" s="19"/>
      <c r="C339" s="27"/>
      <c r="D339" s="19"/>
      <c r="E339" s="27"/>
      <c r="F339" s="27">
        <v>-4.0</v>
      </c>
      <c r="G339" s="27">
        <v>-49.28</v>
      </c>
      <c r="H339" s="19"/>
      <c r="I339" s="27">
        <v>-38.7</v>
      </c>
      <c r="J339" s="19"/>
      <c r="K339" s="19"/>
      <c r="L339" s="2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26">
        <v>44887.0</v>
      </c>
      <c r="B340" s="19"/>
      <c r="C340" s="27"/>
      <c r="D340" s="19"/>
      <c r="E340" s="19"/>
      <c r="F340" s="27"/>
      <c r="G340" s="27">
        <v>-40.03</v>
      </c>
      <c r="H340" s="19"/>
      <c r="I340" s="19"/>
      <c r="J340" s="19"/>
      <c r="K340" s="19"/>
      <c r="L340" s="1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26">
        <v>44888.0</v>
      </c>
      <c r="B341" s="19"/>
      <c r="C341" s="27"/>
      <c r="D341" s="19"/>
      <c r="E341" s="27"/>
      <c r="F341" s="27"/>
      <c r="G341" s="27"/>
      <c r="H341" s="19"/>
      <c r="I341" s="19"/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26">
        <v>44889.0</v>
      </c>
      <c r="B342" s="19"/>
      <c r="C342" s="27"/>
      <c r="D342" s="19"/>
      <c r="E342" s="27"/>
      <c r="F342" s="27">
        <v>300</v>
      </c>
      <c r="G342" s="27">
        <v>-64.99</v>
      </c>
      <c r="H342" s="27"/>
      <c r="I342" s="27"/>
      <c r="J342" s="19"/>
      <c r="K342" s="19"/>
      <c r="L342" s="1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26">
        <v>44890.0</v>
      </c>
      <c r="B343" s="19"/>
      <c r="C343" s="27"/>
      <c r="D343" s="19"/>
      <c r="E343" s="19"/>
      <c r="F343" s="27"/>
      <c r="G343" s="19"/>
      <c r="H343" s="19"/>
      <c r="I343" s="19"/>
      <c r="J343" s="19"/>
      <c r="K343" s="19"/>
      <c r="L343" s="27">
        <v>-81.6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26">
        <v>44891.0</v>
      </c>
      <c r="B344" s="19"/>
      <c r="C344" s="27"/>
      <c r="D344" s="19"/>
      <c r="E344" s="19"/>
      <c r="F344" s="27"/>
      <c r="G344" s="27"/>
      <c r="H344" s="19"/>
      <c r="I344" s="19"/>
      <c r="J344" s="19"/>
      <c r="K344" s="19"/>
      <c r="L344" s="1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26">
        <v>44892.0</v>
      </c>
      <c r="B345" s="19"/>
      <c r="C345" s="27"/>
      <c r="D345" s="19"/>
      <c r="E345" s="27"/>
      <c r="F345" s="19"/>
      <c r="G345" s="19"/>
      <c r="H345" s="19"/>
      <c r="I345" s="19"/>
      <c r="J345" s="19"/>
      <c r="K345" s="19"/>
      <c r="L345" s="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26">
        <v>44893.0</v>
      </c>
      <c r="B346" s="19"/>
      <c r="C346" s="27"/>
      <c r="D346" s="19"/>
      <c r="E346" s="19"/>
      <c r="F346" s="19"/>
      <c r="G346" s="27">
        <v>-33.5</v>
      </c>
      <c r="H346" s="19"/>
      <c r="I346" s="19"/>
      <c r="J346" s="19"/>
      <c r="K346" s="19"/>
      <c r="L346" s="1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26">
        <v>44894.0</v>
      </c>
      <c r="B347" s="19"/>
      <c r="C347" s="27"/>
      <c r="D347" s="19"/>
      <c r="E347" s="27"/>
      <c r="F347" s="19"/>
      <c r="G347" s="27"/>
      <c r="H347" s="19"/>
      <c r="I347" s="19"/>
      <c r="J347" s="19"/>
      <c r="K347" s="19"/>
      <c r="L347" s="1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26">
        <v>44895.0</v>
      </c>
      <c r="B348" s="19"/>
      <c r="C348" s="27"/>
      <c r="D348" s="19"/>
      <c r="E348" s="27"/>
      <c r="F348" s="19"/>
      <c r="G348" s="27">
        <v>-417.0</v>
      </c>
      <c r="H348" s="19"/>
      <c r="I348" s="19"/>
      <c r="J348" s="19"/>
      <c r="K348" s="19"/>
      <c r="L348" s="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26">
        <v>44896.0</v>
      </c>
      <c r="B349" s="19"/>
      <c r="C349" s="27"/>
      <c r="D349" s="19"/>
      <c r="E349" s="19"/>
      <c r="F349" s="27"/>
      <c r="G349" s="27"/>
      <c r="H349" s="19"/>
      <c r="I349" s="19"/>
      <c r="J349" s="19"/>
      <c r="K349" s="27"/>
      <c r="L349" s="1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26">
        <v>44897.0</v>
      </c>
      <c r="B350" s="19"/>
      <c r="C350" s="27"/>
      <c r="D350" s="19"/>
      <c r="E350" s="27"/>
      <c r="F350" s="19"/>
      <c r="G350" s="27">
        <v>-9.99</v>
      </c>
      <c r="H350" s="19"/>
      <c r="I350" s="19"/>
      <c r="J350" s="19"/>
      <c r="K350" s="19"/>
      <c r="L350" s="27">
        <v>-81.6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26">
        <v>44898.0</v>
      </c>
      <c r="B351" s="19"/>
      <c r="C351" s="27"/>
      <c r="D351" s="19"/>
      <c r="E351" s="19"/>
      <c r="F351" s="19"/>
      <c r="G351" s="27"/>
      <c r="H351" s="19"/>
      <c r="I351" s="19"/>
      <c r="J351" s="19"/>
      <c r="K351" s="19"/>
      <c r="L351" s="1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26">
        <v>44899.0</v>
      </c>
      <c r="B352" s="19"/>
      <c r="C352" s="27"/>
      <c r="D352" s="19"/>
      <c r="E352" s="27"/>
      <c r="F352" s="27">
        <v>-50.38</v>
      </c>
      <c r="G352" s="19"/>
      <c r="H352" s="19"/>
      <c r="I352" s="19"/>
      <c r="J352" s="19"/>
      <c r="K352" s="19"/>
      <c r="L352" s="1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26">
        <v>44900.0</v>
      </c>
      <c r="B353" s="19"/>
      <c r="C353" s="27"/>
      <c r="D353" s="19"/>
      <c r="E353" s="19"/>
      <c r="F353" s="27">
        <v>-23.3</v>
      </c>
      <c r="G353" s="27">
        <v>-29.17</v>
      </c>
      <c r="H353" s="19"/>
      <c r="I353" s="19"/>
      <c r="J353" s="19"/>
      <c r="K353" s="19"/>
      <c r="L353" s="2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26">
        <v>44901.0</v>
      </c>
      <c r="B354" s="19"/>
      <c r="C354" s="27"/>
      <c r="D354" s="19"/>
      <c r="E354" s="19"/>
      <c r="F354" s="19"/>
      <c r="G354" s="27">
        <v>-23.3</v>
      </c>
      <c r="H354" s="19"/>
      <c r="I354" s="19"/>
      <c r="J354" s="19"/>
      <c r="K354" s="19">
        <f>-sum(1385,655)</f>
        <v>-2040</v>
      </c>
      <c r="L354" s="1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26">
        <v>44902.0</v>
      </c>
      <c r="B355" s="19"/>
      <c r="C355" s="27"/>
      <c r="D355" s="19"/>
      <c r="E355" s="27"/>
      <c r="F355" s="27"/>
      <c r="G355" s="27">
        <v>-126.37</v>
      </c>
      <c r="H355" s="19"/>
      <c r="I355" s="19"/>
      <c r="J355" s="27">
        <v>-10000.0</v>
      </c>
      <c r="K355" s="19"/>
      <c r="L355" s="1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26">
        <v>44903.0</v>
      </c>
      <c r="B356" s="19"/>
      <c r="C356" s="27"/>
      <c r="D356" s="19"/>
      <c r="E356" s="27"/>
      <c r="F356" s="19"/>
      <c r="G356" s="27"/>
      <c r="H356" s="19"/>
      <c r="I356" s="19"/>
      <c r="J356" s="19"/>
      <c r="K356" s="19"/>
      <c r="L356" s="1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26">
        <v>44904.0</v>
      </c>
      <c r="B357" s="19"/>
      <c r="C357" s="27"/>
      <c r="D357" s="19"/>
      <c r="E357" s="27"/>
      <c r="F357" s="27"/>
      <c r="G357" s="27"/>
      <c r="H357" s="19"/>
      <c r="I357" s="19"/>
      <c r="J357" s="19"/>
      <c r="K357" s="27">
        <v>-1000.0</v>
      </c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26">
        <v>44905.0</v>
      </c>
      <c r="B358" s="19"/>
      <c r="C358" s="27"/>
      <c r="D358" s="19"/>
      <c r="E358" s="19"/>
      <c r="F358" s="19"/>
      <c r="G358" s="27"/>
      <c r="H358" s="19"/>
      <c r="I358" s="19"/>
      <c r="J358" s="19"/>
      <c r="K358" s="19"/>
      <c r="L358" s="1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26">
        <v>44906.0</v>
      </c>
      <c r="B359" s="19"/>
      <c r="C359" s="27"/>
      <c r="D359" s="19"/>
      <c r="E359" s="27"/>
      <c r="F359" s="19"/>
      <c r="G359" s="19"/>
      <c r="H359" s="19"/>
      <c r="I359" s="19"/>
      <c r="J359" s="19"/>
      <c r="K359" s="19"/>
      <c r="L359" s="1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26">
        <v>44907.0</v>
      </c>
      <c r="B360" s="19"/>
      <c r="C360" s="27"/>
      <c r="D360" s="19"/>
      <c r="E360" s="19"/>
      <c r="F360" s="19"/>
      <c r="G360" s="19">
        <f>-sum(23.3,33.5)</f>
        <v>-56.8</v>
      </c>
      <c r="H360" s="19"/>
      <c r="I360" s="19"/>
      <c r="J360" s="19"/>
      <c r="K360" s="19"/>
      <c r="L360" s="1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26">
        <v>44908.0</v>
      </c>
      <c r="B361" s="19"/>
      <c r="C361" s="27"/>
      <c r="D361" s="19"/>
      <c r="E361" s="27"/>
      <c r="F361" s="19"/>
      <c r="G361" s="27">
        <v>-23.3</v>
      </c>
      <c r="H361" s="19"/>
      <c r="I361" s="19"/>
      <c r="J361" s="19"/>
      <c r="K361" s="19"/>
      <c r="L361" s="1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26">
        <v>44909.0</v>
      </c>
      <c r="B362" s="19"/>
      <c r="C362" s="27"/>
      <c r="D362" s="19"/>
      <c r="E362" s="19"/>
      <c r="F362" s="27">
        <v>-2000.0</v>
      </c>
      <c r="G362" s="19"/>
      <c r="H362" s="19"/>
      <c r="I362" s="19"/>
      <c r="J362" s="19"/>
      <c r="K362" s="19"/>
      <c r="L362" s="1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26">
        <v>44910.0</v>
      </c>
      <c r="B363" s="19"/>
      <c r="C363" s="27"/>
      <c r="D363" s="19"/>
      <c r="E363" s="19"/>
      <c r="F363" s="27">
        <v>131.88</v>
      </c>
      <c r="G363" s="19"/>
      <c r="H363" s="19"/>
      <c r="I363" s="19"/>
      <c r="J363" s="19"/>
      <c r="K363" s="19"/>
      <c r="L363" s="1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26">
        <v>44911.0</v>
      </c>
      <c r="B364" s="19"/>
      <c r="C364" s="27"/>
      <c r="D364" s="19"/>
      <c r="E364" s="19"/>
      <c r="F364" s="19"/>
      <c r="G364" s="19"/>
      <c r="H364" s="19"/>
      <c r="I364" s="19"/>
      <c r="J364" s="19"/>
      <c r="K364" s="19"/>
      <c r="L364" s="27">
        <v>-81.6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26">
        <v>44912.0</v>
      </c>
      <c r="B365" s="19"/>
      <c r="C365" s="27"/>
      <c r="D365" s="19"/>
      <c r="E365" s="19"/>
      <c r="F365" s="19"/>
      <c r="G365" s="19"/>
      <c r="H365" s="19"/>
      <c r="I365" s="19"/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26">
        <v>44913.0</v>
      </c>
      <c r="B366" s="19"/>
      <c r="C366" s="27"/>
      <c r="D366" s="19"/>
      <c r="E366" s="19"/>
      <c r="F366" s="27">
        <v>-109.26</v>
      </c>
      <c r="G366" s="19"/>
      <c r="H366" s="19"/>
      <c r="I366" s="19"/>
      <c r="J366" s="19"/>
      <c r="K366" s="19"/>
      <c r="L366" s="1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26">
        <v>44914.0</v>
      </c>
      <c r="B367" s="19"/>
      <c r="C367" s="27"/>
      <c r="D367" s="19"/>
      <c r="E367" s="19"/>
      <c r="F367" s="27">
        <v>-23.3</v>
      </c>
      <c r="G367" s="19"/>
      <c r="H367" s="19"/>
      <c r="I367" s="19"/>
      <c r="J367" s="19"/>
      <c r="K367" s="19"/>
      <c r="L367" s="2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26">
        <v>44915.0</v>
      </c>
      <c r="B368" s="19"/>
      <c r="C368" s="27"/>
      <c r="D368" s="19"/>
      <c r="E368" s="19"/>
      <c r="F368" s="19"/>
      <c r="G368" s="19"/>
      <c r="H368" s="19"/>
      <c r="I368" s="19"/>
      <c r="J368" s="19"/>
      <c r="K368" s="19"/>
      <c r="L368" s="1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26">
        <v>44916.0</v>
      </c>
      <c r="B369" s="19"/>
      <c r="C369" s="27"/>
      <c r="D369" s="19"/>
      <c r="E369" s="27"/>
      <c r="F369" s="19"/>
      <c r="G369" s="27">
        <v>-23.3</v>
      </c>
      <c r="H369" s="19"/>
      <c r="I369" s="19"/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26">
        <v>44917.0</v>
      </c>
      <c r="B370" s="19"/>
      <c r="C370" s="27"/>
      <c r="D370" s="19"/>
      <c r="E370" s="27"/>
      <c r="F370" s="27">
        <v>-68.1</v>
      </c>
      <c r="G370" s="27">
        <f>-sum(40.35,40.03)</f>
        <v>-80.38</v>
      </c>
      <c r="H370" s="19"/>
      <c r="I370" s="19"/>
      <c r="J370" s="19"/>
      <c r="K370" s="19"/>
      <c r="L370" s="1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26">
        <v>44918.0</v>
      </c>
      <c r="B371" s="19"/>
      <c r="C371" s="27"/>
      <c r="D371" s="19"/>
      <c r="E371" s="19"/>
      <c r="F371" s="19"/>
      <c r="G371" s="19"/>
      <c r="H371" s="19"/>
      <c r="I371" s="19"/>
      <c r="J371" s="19"/>
      <c r="K371" s="19"/>
      <c r="L371" s="27">
        <v>-116.6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26">
        <v>44919.0</v>
      </c>
      <c r="B372" s="19"/>
      <c r="C372" s="27"/>
      <c r="D372" s="19"/>
      <c r="E372" s="27">
        <v>-120.0</v>
      </c>
      <c r="F372" s="19"/>
      <c r="G372" s="19"/>
      <c r="H372" s="19"/>
      <c r="I372" s="19"/>
      <c r="J372" s="19"/>
      <c r="K372" s="19"/>
      <c r="L372" s="1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26">
        <v>44920.0</v>
      </c>
      <c r="B373" s="19"/>
      <c r="C373" s="27"/>
      <c r="D373" s="19"/>
      <c r="E373" s="19"/>
      <c r="F373" s="19"/>
      <c r="G373" s="19"/>
      <c r="H373" s="27">
        <v>-29.57</v>
      </c>
      <c r="I373" s="19"/>
      <c r="J373" s="19"/>
      <c r="K373" s="19"/>
      <c r="L373" s="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26">
        <v>44921.0</v>
      </c>
      <c r="B374" s="19"/>
      <c r="C374" s="27"/>
      <c r="D374" s="19"/>
      <c r="E374" s="19"/>
      <c r="F374" s="19"/>
      <c r="G374" s="19"/>
      <c r="H374" s="27">
        <v>-28.22</v>
      </c>
      <c r="I374" s="19"/>
      <c r="J374" s="19"/>
      <c r="K374" s="19"/>
      <c r="L374" s="1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26">
        <v>44922.0</v>
      </c>
      <c r="B375" s="19"/>
      <c r="C375" s="27"/>
      <c r="D375" s="19"/>
      <c r="E375" s="19"/>
      <c r="F375" s="27">
        <v>-930.0</v>
      </c>
      <c r="G375" s="27">
        <v>-100.0</v>
      </c>
      <c r="H375" s="27">
        <v>-144.04</v>
      </c>
      <c r="I375" s="19"/>
      <c r="J375" s="19"/>
      <c r="K375" s="27"/>
      <c r="L375" s="2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26">
        <v>44923.0</v>
      </c>
      <c r="B376" s="19"/>
      <c r="C376" s="27"/>
      <c r="D376" s="19"/>
      <c r="E376" s="19"/>
      <c r="F376" s="19">
        <f t="shared" ref="F376:G376" si="16">-sum(33.5,23.3)</f>
        <v>-56.8</v>
      </c>
      <c r="G376" s="27">
        <f t="shared" si="16"/>
        <v>-56.8</v>
      </c>
      <c r="H376" s="27">
        <v>-58.5</v>
      </c>
      <c r="I376" s="27">
        <v>-56.8</v>
      </c>
      <c r="J376" s="27"/>
      <c r="K376" s="27"/>
      <c r="L376" s="1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26">
        <v>44924.0</v>
      </c>
      <c r="B377" s="19"/>
      <c r="C377" s="27"/>
      <c r="D377" s="19"/>
      <c r="E377" s="19"/>
      <c r="F377" s="19">
        <f>-sum(40.6,40.6)</f>
        <v>-81.2</v>
      </c>
      <c r="G377" s="19">
        <f>-sum(64.99,23.3,58.5)</f>
        <v>-146.79</v>
      </c>
      <c r="H377" s="27">
        <v>-92.2</v>
      </c>
      <c r="I377" s="27">
        <v>-57.4</v>
      </c>
      <c r="J377" s="19"/>
      <c r="K377" s="19"/>
      <c r="L377" s="2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26">
        <v>44925.0</v>
      </c>
      <c r="B378" s="19"/>
      <c r="C378" s="27"/>
      <c r="D378" s="19"/>
      <c r="E378" s="19"/>
      <c r="F378" s="19">
        <v>2100</v>
      </c>
      <c r="G378" s="27">
        <v>-172.83</v>
      </c>
      <c r="H378" s="19">
        <f>-Sum(53.29,10,8.8,3.85,138)</f>
        <v>-213.94</v>
      </c>
      <c r="I378" s="19"/>
      <c r="J378" s="19"/>
      <c r="K378" s="19"/>
      <c r="L378" s="27">
        <v>-116.6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26">
        <v>44926.0</v>
      </c>
      <c r="B379" s="19"/>
      <c r="C379" s="27"/>
      <c r="D379" s="19"/>
      <c r="E379" s="27"/>
      <c r="F379" s="27"/>
      <c r="G379" s="19"/>
      <c r="H379" s="27">
        <v>-7.5</v>
      </c>
      <c r="I379" s="19"/>
      <c r="J379" s="19"/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26"/>
      <c r="B380" s="19"/>
      <c r="C380" s="19"/>
      <c r="D380" s="19"/>
      <c r="E380" s="19"/>
      <c r="F380" s="19"/>
      <c r="G380" s="19"/>
      <c r="H380" s="19"/>
      <c r="I380" s="19"/>
      <c r="J380" s="19"/>
      <c r="K380" s="27"/>
      <c r="L380" s="1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</sheetData>
  <mergeCells count="2">
    <mergeCell ref="O52:O54"/>
    <mergeCell ref="O57:O59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5.88"/>
  </cols>
  <sheetData>
    <row r="1" ht="16.5" customHeight="1">
      <c r="A1" s="7"/>
      <c r="B1" s="34" t="s">
        <v>13</v>
      </c>
      <c r="C1" s="34" t="s">
        <v>14</v>
      </c>
      <c r="D1" s="34" t="s">
        <v>15</v>
      </c>
      <c r="E1" s="34" t="s">
        <v>16</v>
      </c>
      <c r="F1" s="35"/>
      <c r="G1" s="42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/>
      <c r="B2" s="37">
        <f t="shared" ref="B2:E2" si="1">sum(B3:B1000)</f>
        <v>0</v>
      </c>
      <c r="C2" s="37">
        <f t="shared" si="1"/>
        <v>66651.62</v>
      </c>
      <c r="D2" s="37">
        <f t="shared" si="1"/>
        <v>54345.61</v>
      </c>
      <c r="E2" s="37">
        <f t="shared" si="1"/>
        <v>13820.44</v>
      </c>
      <c r="F2" s="24"/>
      <c r="G2" s="43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29" t="s">
        <v>17</v>
      </c>
      <c r="B3" s="27"/>
      <c r="C3" s="27">
        <f>sum(923.16,1131.25*2,74.76*2,974.35,50.98,450,15.03)</f>
        <v>4825.54</v>
      </c>
      <c r="D3" s="27">
        <f>sum(2010.14,25,1663.2,450,0.52,28.72)</f>
        <v>4177.58</v>
      </c>
      <c r="E3" s="27">
        <f>sum(56.09,506.96,563.24,428.47)</f>
        <v>1554.76</v>
      </c>
      <c r="F3" s="19">
        <f t="shared" ref="F3:F14" si="2">sum(B3:E3)</f>
        <v>10557.88</v>
      </c>
      <c r="G3" s="4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9" t="s">
        <v>29</v>
      </c>
      <c r="B4" s="27"/>
      <c r="C4" s="27">
        <f>sum(302.71,1131.25*2,74.76*2,644.63)</f>
        <v>3359.36</v>
      </c>
      <c r="D4" s="27">
        <f>sum(1398.72,1646.21,1.04)</f>
        <v>3045.97</v>
      </c>
      <c r="E4" s="27">
        <f>sum(563.24,563.24,841.96)</f>
        <v>1968.44</v>
      </c>
      <c r="F4" s="19">
        <f t="shared" si="2"/>
        <v>8373.77</v>
      </c>
      <c r="G4" s="4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9" t="s">
        <v>19</v>
      </c>
      <c r="B5" s="27"/>
      <c r="C5" s="27">
        <f>sum(903.86,1131.25,74.76,753.87,1122.25,74.76)</f>
        <v>4060.75</v>
      </c>
      <c r="D5" s="19">
        <f>sum(1499.71,0.52,31.12,609.94,1724.2,1625.03)</f>
        <v>5490.52</v>
      </c>
      <c r="E5" s="27">
        <f>sum(563.24,609.94,56.09,507.15,563.24)</f>
        <v>2299.66</v>
      </c>
      <c r="F5" s="19">
        <f t="shared" si="2"/>
        <v>11850.93</v>
      </c>
      <c r="G5" s="4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9" t="s">
        <v>20</v>
      </c>
      <c r="B6" s="27"/>
      <c r="C6" s="27">
        <f t="shared" ref="C6:C7" si="3">sum(2632.08*2,74.76*2)</f>
        <v>5413.68</v>
      </c>
      <c r="D6" s="19">
        <f>sum(1559.42,2179.97)</f>
        <v>3739.39</v>
      </c>
      <c r="E6" s="27">
        <f>sum(346.53,56.09,290.44)</f>
        <v>693.06</v>
      </c>
      <c r="F6" s="19">
        <f t="shared" si="2"/>
        <v>9846.13</v>
      </c>
      <c r="G6" s="4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9" t="s">
        <v>21</v>
      </c>
      <c r="B7" s="27"/>
      <c r="C7" s="27">
        <f t="shared" si="3"/>
        <v>5413.68</v>
      </c>
      <c r="D7" s="27">
        <f>sum(54.5,18.95,1645.01,1728.91)</f>
        <v>3447.37</v>
      </c>
      <c r="E7" s="27">
        <f t="shared" ref="E7:E9" si="4">sum(346.53,346.53)</f>
        <v>693.06</v>
      </c>
      <c r="F7" s="19">
        <f t="shared" si="2"/>
        <v>9554.11</v>
      </c>
      <c r="G7" s="4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9" t="s">
        <v>22</v>
      </c>
      <c r="B8" s="27"/>
      <c r="C8" s="27">
        <f>sum(2632.08,74.76*3,2677.26*2)</f>
        <v>8210.88</v>
      </c>
      <c r="D8" s="27">
        <f>sum(1543.92,1689.09)</f>
        <v>3233.01</v>
      </c>
      <c r="E8" s="27">
        <f t="shared" si="4"/>
        <v>693.06</v>
      </c>
      <c r="F8" s="19">
        <f t="shared" si="2"/>
        <v>12136.95</v>
      </c>
      <c r="G8" s="4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9" t="s">
        <v>23</v>
      </c>
      <c r="B9" s="27"/>
      <c r="C9" s="19">
        <f>sum(2677.26*2,10.68)</f>
        <v>5365.2</v>
      </c>
      <c r="D9" s="27">
        <f>sum(1931.09,1540.69,8855.48)</f>
        <v>12327.26</v>
      </c>
      <c r="E9" s="19">
        <f t="shared" si="4"/>
        <v>693.06</v>
      </c>
      <c r="F9" s="19">
        <f t="shared" si="2"/>
        <v>18385.52</v>
      </c>
      <c r="G9" s="4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9" t="s">
        <v>24</v>
      </c>
      <c r="B10" s="27"/>
      <c r="C10" s="19">
        <f>sum(2677.26*2)</f>
        <v>5354.52</v>
      </c>
      <c r="D10" s="27">
        <f>sum(1814.29,1451.42,2366.46)</f>
        <v>5632.17</v>
      </c>
      <c r="E10" s="27">
        <f>sum(346.53,346.53,145.62,67.09,346.53)</f>
        <v>1252.3</v>
      </c>
      <c r="F10" s="19">
        <f t="shared" si="2"/>
        <v>12238.99</v>
      </c>
      <c r="G10" s="4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9" t="s">
        <v>25</v>
      </c>
      <c r="B11" s="27"/>
      <c r="C11" s="27">
        <f t="shared" ref="C11:C12" si="5">sum(2677.26)*2</f>
        <v>5354.52</v>
      </c>
      <c r="D11" s="27">
        <f>sum(1463.94,1749.78)</f>
        <v>3213.72</v>
      </c>
      <c r="E11" s="27">
        <f>sum(154.57,342.06,342.06,154.57)</f>
        <v>993.26</v>
      </c>
      <c r="F11" s="19">
        <f t="shared" si="2"/>
        <v>9561.5</v>
      </c>
      <c r="G11" s="4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9" t="s">
        <v>26</v>
      </c>
      <c r="B12" s="27"/>
      <c r="C12" s="19">
        <f t="shared" si="5"/>
        <v>5354.52</v>
      </c>
      <c r="D12" s="19">
        <f>sum(2337.59,1367.28)</f>
        <v>3704.87</v>
      </c>
      <c r="E12" s="27">
        <f>sum(342.06*2,154.57*2)</f>
        <v>993.26</v>
      </c>
      <c r="F12" s="19">
        <f t="shared" si="2"/>
        <v>10052.65</v>
      </c>
      <c r="G12" s="4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9" t="s">
        <v>27</v>
      </c>
      <c r="B13" s="27"/>
      <c r="C13" s="19">
        <f>sum(2677.26*2,3229.93)</f>
        <v>8584.45</v>
      </c>
      <c r="D13" s="27">
        <f>sum(1677.03,1597.26)</f>
        <v>3274.29</v>
      </c>
      <c r="E13" s="27">
        <f t="shared" ref="E13:E14" si="6">sum(342.06,154.57,342.06,154.57)</f>
        <v>993.26</v>
      </c>
      <c r="F13" s="19">
        <f t="shared" si="2"/>
        <v>12852</v>
      </c>
      <c r="G13" s="4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9" t="s">
        <v>28</v>
      </c>
      <c r="B14" s="27"/>
      <c r="C14" s="19">
        <f>sum(2677.26)*2</f>
        <v>5354.52</v>
      </c>
      <c r="D14" s="27">
        <f>sum(1524.43,1535.03)</f>
        <v>3059.46</v>
      </c>
      <c r="E14" s="27">
        <f t="shared" si="6"/>
        <v>993.26</v>
      </c>
      <c r="F14" s="19">
        <f t="shared" si="2"/>
        <v>9407.24</v>
      </c>
      <c r="G14" s="4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0" max="10" width="9.13"/>
    <col customWidth="1" min="11" max="11" width="9.88"/>
    <col customWidth="1" min="13" max="13" width="14.13"/>
  </cols>
  <sheetData>
    <row r="1" ht="18.0" customHeight="1">
      <c r="A1" s="40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30</v>
      </c>
      <c r="I1" s="5" t="s">
        <v>8</v>
      </c>
      <c r="J1" s="5" t="s">
        <v>31</v>
      </c>
      <c r="K1" s="6" t="s">
        <v>32</v>
      </c>
      <c r="L1" s="7"/>
      <c r="M1" s="7"/>
      <c r="N1" s="8"/>
      <c r="O1" s="8"/>
      <c r="P1" s="8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41"/>
      <c r="B2" s="10">
        <f>SUM(E2:K2)</f>
        <v>-76368.21</v>
      </c>
      <c r="C2" s="11">
        <f>SUM('2021_income'!B2)</f>
        <v>91685.03</v>
      </c>
      <c r="D2" s="12">
        <f t="shared" ref="D2:D14" si="2">SUM(B2,C2)</f>
        <v>15316.82</v>
      </c>
      <c r="E2" s="13">
        <f t="shared" ref="E2:K2" si="1">SUM(E15:E1014)</f>
        <v>-5119.05</v>
      </c>
      <c r="F2" s="13">
        <f t="shared" si="1"/>
        <v>-22627.63</v>
      </c>
      <c r="G2" s="13">
        <f t="shared" si="1"/>
        <v>-27625.23</v>
      </c>
      <c r="H2" s="13">
        <f t="shared" si="1"/>
        <v>-1036.77</v>
      </c>
      <c r="I2" s="13">
        <f t="shared" si="1"/>
        <v>-17582.38</v>
      </c>
      <c r="J2" s="13">
        <f t="shared" si="1"/>
        <v>-1069.27</v>
      </c>
      <c r="K2" s="14">
        <f t="shared" si="1"/>
        <v>-1307.88</v>
      </c>
      <c r="L2" s="15"/>
      <c r="M2" s="15"/>
      <c r="N2" s="8"/>
      <c r="O2" s="8"/>
      <c r="P2" s="8"/>
      <c r="Q2" s="16"/>
      <c r="R2" s="16"/>
      <c r="S2" s="15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17">
        <v>44197.0</v>
      </c>
      <c r="B3" s="10">
        <f>sum(E15:K45)</f>
        <v>-4546.05</v>
      </c>
      <c r="C3" s="18">
        <f>'2021_income'!B3</f>
        <v>4787.32</v>
      </c>
      <c r="D3" s="12">
        <f t="shared" si="2"/>
        <v>241.27</v>
      </c>
      <c r="E3" s="19">
        <f t="shared" ref="E3:K3" si="3">sum(E15:E45)</f>
        <v>-1159.4</v>
      </c>
      <c r="F3" s="19">
        <f t="shared" si="3"/>
        <v>-1264.88</v>
      </c>
      <c r="G3" s="19">
        <f t="shared" si="3"/>
        <v>-1792.37</v>
      </c>
      <c r="H3" s="19">
        <f t="shared" si="3"/>
        <v>0</v>
      </c>
      <c r="I3" s="19">
        <f t="shared" si="3"/>
        <v>0</v>
      </c>
      <c r="J3" s="19">
        <f t="shared" si="3"/>
        <v>-34.99</v>
      </c>
      <c r="K3" s="20">
        <f t="shared" si="3"/>
        <v>-294.41</v>
      </c>
      <c r="L3" s="28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17">
        <v>44228.0</v>
      </c>
      <c r="B4" s="10">
        <f>sum(E46:K73)</f>
        <v>-4022.84</v>
      </c>
      <c r="C4" s="18">
        <f>'2021_income'!B4</f>
        <v>5244.63</v>
      </c>
      <c r="D4" s="12">
        <f t="shared" si="2"/>
        <v>1221.79</v>
      </c>
      <c r="E4" s="19">
        <f t="shared" ref="E4:K4" si="4">sum(E46:E73)</f>
        <v>-396.44</v>
      </c>
      <c r="F4" s="19">
        <f t="shared" si="4"/>
        <v>-1326.44</v>
      </c>
      <c r="G4" s="19">
        <f t="shared" si="4"/>
        <v>-1270</v>
      </c>
      <c r="H4" s="19">
        <f t="shared" si="4"/>
        <v>0</v>
      </c>
      <c r="I4" s="19">
        <f t="shared" si="4"/>
        <v>-825</v>
      </c>
      <c r="J4" s="19">
        <f t="shared" si="4"/>
        <v>-38.99</v>
      </c>
      <c r="K4" s="20">
        <f t="shared" si="4"/>
        <v>-165.97</v>
      </c>
      <c r="L4" s="28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17">
        <v>44256.0</v>
      </c>
      <c r="B5" s="10">
        <f>sum(E74:K104)</f>
        <v>-9522.24</v>
      </c>
      <c r="C5" s="18">
        <f>'2021_income'!B5</f>
        <v>6870.83</v>
      </c>
      <c r="D5" s="12">
        <f t="shared" si="2"/>
        <v>-2651.41</v>
      </c>
      <c r="E5" s="19">
        <f t="shared" ref="E5:K5" si="5">sum(E74:E104)</f>
        <v>-236.24</v>
      </c>
      <c r="F5" s="19">
        <f t="shared" si="5"/>
        <v>-1548.73</v>
      </c>
      <c r="G5" s="19">
        <f t="shared" si="5"/>
        <v>-2768.4</v>
      </c>
      <c r="H5" s="19">
        <f t="shared" si="5"/>
        <v>0</v>
      </c>
      <c r="I5" s="19">
        <f t="shared" si="5"/>
        <v>-4547.96</v>
      </c>
      <c r="J5" s="19">
        <f t="shared" si="5"/>
        <v>-236.93</v>
      </c>
      <c r="K5" s="20">
        <f t="shared" si="5"/>
        <v>-183.98</v>
      </c>
      <c r="L5" s="28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17">
        <v>44287.0</v>
      </c>
      <c r="B6" s="10">
        <f>sum(E105:K134)</f>
        <v>-3484.77</v>
      </c>
      <c r="C6" s="18">
        <f>'2021_income'!B6</f>
        <v>4899.62</v>
      </c>
      <c r="D6" s="12">
        <f t="shared" si="2"/>
        <v>1414.85</v>
      </c>
      <c r="E6" s="19">
        <f t="shared" ref="E6:K6" si="6">sum(E105:E134)</f>
        <v>-253.32</v>
      </c>
      <c r="F6" s="19">
        <f t="shared" si="6"/>
        <v>-1742.11</v>
      </c>
      <c r="G6" s="19">
        <f t="shared" si="6"/>
        <v>-1303.5</v>
      </c>
      <c r="H6" s="19">
        <f t="shared" si="6"/>
        <v>0</v>
      </c>
      <c r="I6" s="19">
        <f t="shared" si="6"/>
        <v>0</v>
      </c>
      <c r="J6" s="19">
        <f t="shared" si="6"/>
        <v>-63.45</v>
      </c>
      <c r="K6" s="20">
        <f t="shared" si="6"/>
        <v>-122.39</v>
      </c>
      <c r="L6" s="28"/>
      <c r="M6" s="2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17">
        <v>44317.0</v>
      </c>
      <c r="B7" s="10">
        <f>sum(E135:K165)</f>
        <v>-4418.27</v>
      </c>
      <c r="C7" s="18">
        <f>'2021_income'!B7</f>
        <v>5290.61</v>
      </c>
      <c r="D7" s="12">
        <f t="shared" si="2"/>
        <v>872.34</v>
      </c>
      <c r="E7" s="19">
        <f t="shared" ref="E7:K7" si="7">sum(E135:E165)</f>
        <v>-182.92</v>
      </c>
      <c r="F7" s="19">
        <f t="shared" si="7"/>
        <v>-1349.17</v>
      </c>
      <c r="G7" s="19">
        <f t="shared" si="7"/>
        <v>-2080</v>
      </c>
      <c r="H7" s="19">
        <f t="shared" si="7"/>
        <v>-190.87</v>
      </c>
      <c r="I7" s="19">
        <f t="shared" si="7"/>
        <v>0</v>
      </c>
      <c r="J7" s="19">
        <f t="shared" si="7"/>
        <v>-357.63</v>
      </c>
      <c r="K7" s="20">
        <f t="shared" si="7"/>
        <v>-257.68</v>
      </c>
      <c r="L7" s="28"/>
      <c r="M7" s="2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17">
        <v>44348.0</v>
      </c>
      <c r="B8" s="10">
        <f>sum(E166:K195)</f>
        <v>-4732.87</v>
      </c>
      <c r="C8" s="18">
        <f>'2021_income'!B8</f>
        <v>2717.1</v>
      </c>
      <c r="D8" s="12">
        <f t="shared" si="2"/>
        <v>-2015.77</v>
      </c>
      <c r="E8" s="19">
        <f t="shared" ref="E8:K8" si="8">sum(E166:E195)</f>
        <v>-99.38</v>
      </c>
      <c r="F8" s="19">
        <f t="shared" si="8"/>
        <v>-1561.7</v>
      </c>
      <c r="G8" s="19">
        <f t="shared" si="8"/>
        <v>-1347.2</v>
      </c>
      <c r="H8" s="19">
        <f t="shared" si="8"/>
        <v>0</v>
      </c>
      <c r="I8" s="19">
        <f t="shared" si="8"/>
        <v>-1506.14</v>
      </c>
      <c r="J8" s="19">
        <f t="shared" si="8"/>
        <v>0</v>
      </c>
      <c r="K8" s="20">
        <f t="shared" si="8"/>
        <v>-218.45</v>
      </c>
      <c r="L8" s="28"/>
      <c r="M8" s="2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17">
        <v>44378.0</v>
      </c>
      <c r="B9" s="10">
        <f>sum(E196:K226)</f>
        <v>-9434.34</v>
      </c>
      <c r="C9" s="18">
        <f>'2021_income'!B9</f>
        <v>9980.34</v>
      </c>
      <c r="D9" s="12">
        <f t="shared" si="2"/>
        <v>546</v>
      </c>
      <c r="E9" s="19">
        <f t="shared" ref="E9:K9" si="9">sum(E196:E226)</f>
        <v>-227.07</v>
      </c>
      <c r="F9" s="19">
        <f t="shared" si="9"/>
        <v>-1932.29</v>
      </c>
      <c r="G9" s="19">
        <f t="shared" si="9"/>
        <v>-3162.34</v>
      </c>
      <c r="H9" s="19">
        <f t="shared" si="9"/>
        <v>0</v>
      </c>
      <c r="I9" s="19">
        <f t="shared" si="9"/>
        <v>-4073.94</v>
      </c>
      <c r="J9" s="19">
        <f t="shared" si="9"/>
        <v>-38.7</v>
      </c>
      <c r="K9" s="20">
        <f t="shared" si="9"/>
        <v>0</v>
      </c>
      <c r="L9" s="28"/>
      <c r="M9" s="2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17">
        <v>44409.0</v>
      </c>
      <c r="B10" s="10">
        <f>sum(E227:K257)</f>
        <v>-9442.08</v>
      </c>
      <c r="C10" s="18">
        <f>'2021_income'!B10</f>
        <v>8090.33</v>
      </c>
      <c r="D10" s="12">
        <f t="shared" si="2"/>
        <v>-1351.75</v>
      </c>
      <c r="E10" s="19">
        <f t="shared" ref="E10:K10" si="10">sum(E227:E257)</f>
        <v>-279.96</v>
      </c>
      <c r="F10" s="19">
        <f t="shared" si="10"/>
        <v>-1972.41</v>
      </c>
      <c r="G10" s="19">
        <f t="shared" si="10"/>
        <v>-2487.87</v>
      </c>
      <c r="H10" s="19">
        <f t="shared" si="10"/>
        <v>0</v>
      </c>
      <c r="I10" s="19">
        <f t="shared" si="10"/>
        <v>-4547.04</v>
      </c>
      <c r="J10" s="19">
        <f t="shared" si="10"/>
        <v>-113.8</v>
      </c>
      <c r="K10" s="20">
        <f t="shared" si="10"/>
        <v>-41</v>
      </c>
      <c r="L10" s="28"/>
      <c r="M10" s="2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17">
        <v>44440.0</v>
      </c>
      <c r="B11" s="10">
        <f>sum(E258:K287)</f>
        <v>-6645.2</v>
      </c>
      <c r="C11" s="18">
        <f>'2021_income'!B11</f>
        <v>10360.59</v>
      </c>
      <c r="D11" s="12">
        <f t="shared" si="2"/>
        <v>3715.39</v>
      </c>
      <c r="E11" s="19">
        <f t="shared" ref="E11:K11" si="11">sum(E258:E287)</f>
        <v>-219.48</v>
      </c>
      <c r="F11" s="19">
        <f t="shared" si="11"/>
        <v>-1831.98</v>
      </c>
      <c r="G11" s="19">
        <f t="shared" si="11"/>
        <v>-2522.74</v>
      </c>
      <c r="H11" s="19">
        <f t="shared" si="11"/>
        <v>0</v>
      </c>
      <c r="I11" s="19">
        <f t="shared" si="11"/>
        <v>-1999</v>
      </c>
      <c r="J11" s="19">
        <f t="shared" si="11"/>
        <v>-72</v>
      </c>
      <c r="K11" s="20">
        <f t="shared" si="11"/>
        <v>0</v>
      </c>
      <c r="L11" s="28"/>
      <c r="M11" s="2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17">
        <v>44470.0</v>
      </c>
      <c r="B12" s="10">
        <f>sum(E288:K318)</f>
        <v>-7835.09</v>
      </c>
      <c r="C12" s="18">
        <f>'2021_income'!B12</f>
        <v>9938.69</v>
      </c>
      <c r="D12" s="12">
        <f t="shared" si="2"/>
        <v>2103.6</v>
      </c>
      <c r="E12" s="19">
        <f t="shared" ref="E12:K12" si="12">sum(E288:E318)</f>
        <v>-1248.28</v>
      </c>
      <c r="F12" s="19">
        <f t="shared" si="12"/>
        <v>-2774.25</v>
      </c>
      <c r="G12" s="19">
        <f t="shared" si="12"/>
        <v>-3592.48</v>
      </c>
      <c r="H12" s="19">
        <f t="shared" si="12"/>
        <v>0</v>
      </c>
      <c r="I12" s="19">
        <f t="shared" si="12"/>
        <v>-83.3</v>
      </c>
      <c r="J12" s="19">
        <f t="shared" si="12"/>
        <v>-112.78</v>
      </c>
      <c r="K12" s="20">
        <f t="shared" si="12"/>
        <v>-24</v>
      </c>
      <c r="L12" s="28"/>
      <c r="M12" s="2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17">
        <v>44501.0</v>
      </c>
      <c r="B13" s="10">
        <f>sum(E319:K348)</f>
        <v>-6716.28</v>
      </c>
      <c r="C13" s="18">
        <f>'2021_income'!B13</f>
        <v>12165.04</v>
      </c>
      <c r="D13" s="12">
        <f t="shared" si="2"/>
        <v>5448.76</v>
      </c>
      <c r="E13" s="19">
        <f t="shared" ref="E13:K13" si="13">sum(E319:E348)</f>
        <v>-393.05</v>
      </c>
      <c r="F13" s="19">
        <f t="shared" si="13"/>
        <v>-2927.56</v>
      </c>
      <c r="G13" s="19">
        <f t="shared" si="13"/>
        <v>-2549.77</v>
      </c>
      <c r="H13" s="19">
        <f t="shared" si="13"/>
        <v>-845.9</v>
      </c>
      <c r="I13" s="19">
        <f t="shared" si="13"/>
        <v>0</v>
      </c>
      <c r="J13" s="19">
        <f t="shared" si="13"/>
        <v>0</v>
      </c>
      <c r="K13" s="20">
        <f t="shared" si="13"/>
        <v>0</v>
      </c>
      <c r="L13" s="28"/>
      <c r="M13" s="2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17">
        <v>44531.0</v>
      </c>
      <c r="B14" s="45">
        <f>sum(E349:K379)</f>
        <v>-5568.18</v>
      </c>
      <c r="C14" s="46">
        <f>'2021_income'!B14</f>
        <v>11339.93</v>
      </c>
      <c r="D14" s="23">
        <f t="shared" si="2"/>
        <v>5771.75</v>
      </c>
      <c r="E14" s="24">
        <f t="shared" ref="E14:K14" si="14">sum(E349:E379)</f>
        <v>-423.51</v>
      </c>
      <c r="F14" s="24">
        <f t="shared" si="14"/>
        <v>-2396.11</v>
      </c>
      <c r="G14" s="24">
        <f t="shared" si="14"/>
        <v>-2748.56</v>
      </c>
      <c r="H14" s="24">
        <f t="shared" si="14"/>
        <v>0</v>
      </c>
      <c r="I14" s="24">
        <f t="shared" si="14"/>
        <v>0</v>
      </c>
      <c r="J14" s="24">
        <f t="shared" si="14"/>
        <v>0</v>
      </c>
      <c r="K14" s="25">
        <f t="shared" si="14"/>
        <v>0</v>
      </c>
      <c r="L14" s="28"/>
      <c r="M14" s="2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26">
        <v>44197.0</v>
      </c>
      <c r="B15" s="19"/>
      <c r="C15" s="27" t="str">
        <f>'2021_income'!B15</f>
        <v/>
      </c>
      <c r="D15" s="19"/>
      <c r="E15" s="19"/>
      <c r="F15" s="19"/>
      <c r="G15" s="27">
        <v>-70.0</v>
      </c>
      <c r="H15" s="19"/>
      <c r="I15" s="19"/>
      <c r="J15" s="19"/>
      <c r="K15" s="19"/>
      <c r="L15" s="28"/>
      <c r="M15" s="2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26">
        <v>44198.0</v>
      </c>
      <c r="B16" s="19"/>
      <c r="C16" s="27" t="str">
        <f>'2021_income'!B16</f>
        <v/>
      </c>
      <c r="D16" s="19"/>
      <c r="E16" s="19"/>
      <c r="F16" s="27">
        <v>-50.8</v>
      </c>
      <c r="G16" s="19"/>
      <c r="H16" s="19"/>
      <c r="I16" s="19"/>
      <c r="J16" s="19"/>
      <c r="K16" s="19"/>
      <c r="L16" s="28"/>
      <c r="M16" s="2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26">
        <v>44199.0</v>
      </c>
      <c r="B17" s="27"/>
      <c r="C17" s="27" t="str">
        <f>'2021_income'!B17</f>
        <v/>
      </c>
      <c r="D17" s="19"/>
      <c r="E17" s="27"/>
      <c r="F17" s="19">
        <f>-sum(44.2,49,8.3,19.95)</f>
        <v>-121.45</v>
      </c>
      <c r="G17" s="19"/>
      <c r="H17" s="19"/>
      <c r="I17" s="19"/>
      <c r="J17" s="27">
        <v>-34.99</v>
      </c>
      <c r="K17" s="19"/>
      <c r="L17" s="28"/>
      <c r="M17" s="21"/>
      <c r="N17" s="2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26">
        <v>44200.0</v>
      </c>
      <c r="B18" s="27"/>
      <c r="C18" s="27" t="str">
        <f>'2021_income'!B18</f>
        <v/>
      </c>
      <c r="D18" s="19"/>
      <c r="E18" s="27"/>
      <c r="F18" s="27">
        <v>10.0</v>
      </c>
      <c r="G18" s="27">
        <v>-600.0</v>
      </c>
      <c r="H18" s="19"/>
      <c r="I18" s="19"/>
      <c r="J18" s="19"/>
      <c r="K18" s="19"/>
      <c r="L18" s="28"/>
      <c r="M18" s="21"/>
      <c r="N18" s="2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26">
        <v>44201.0</v>
      </c>
      <c r="B19" s="27"/>
      <c r="C19" s="27" t="str">
        <f>'2021_income'!B19</f>
        <v/>
      </c>
      <c r="D19" s="19"/>
      <c r="E19" s="27"/>
      <c r="F19" s="27">
        <f>-sum(5,14.95,85.92)</f>
        <v>-105.87</v>
      </c>
      <c r="G19" s="27"/>
      <c r="H19" s="19"/>
      <c r="I19" s="19"/>
      <c r="J19" s="19"/>
      <c r="K19" s="19"/>
      <c r="L19" s="28"/>
      <c r="M19" s="21"/>
      <c r="N19" s="2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26">
        <v>44202.0</v>
      </c>
      <c r="B20" s="27"/>
      <c r="C20" s="27" t="str">
        <f>'2021_income'!B20</f>
        <v/>
      </c>
      <c r="D20" s="19"/>
      <c r="E20" s="27"/>
      <c r="F20" s="19">
        <f>-sum(4.95,4.95,7.99,4.15)</f>
        <v>-22.04</v>
      </c>
      <c r="G20" s="19"/>
      <c r="H20" s="27"/>
      <c r="I20" s="19"/>
      <c r="J20" s="19"/>
      <c r="K20" s="19"/>
      <c r="L20" s="28"/>
      <c r="M20" s="21"/>
      <c r="N20" s="2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26">
        <v>44203.0</v>
      </c>
      <c r="B21" s="27"/>
      <c r="C21" s="27" t="str">
        <f>'2021_income'!B21</f>
        <v/>
      </c>
      <c r="D21" s="19"/>
      <c r="E21" s="27"/>
      <c r="F21" s="19">
        <f>-sum(35.45,13.67,12.45,6.87,10.9,30,-3)</f>
        <v>-106.34</v>
      </c>
      <c r="G21" s="19"/>
      <c r="H21" s="19"/>
      <c r="I21" s="19"/>
      <c r="J21" s="19"/>
      <c r="K21" s="19"/>
      <c r="L21" s="28"/>
      <c r="M21" s="21"/>
      <c r="N21" s="29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26">
        <v>44204.0</v>
      </c>
      <c r="B22" s="27"/>
      <c r="C22" s="27" t="str">
        <f>'2021_income'!B22</f>
        <v/>
      </c>
      <c r="D22" s="19"/>
      <c r="E22" s="27"/>
      <c r="F22" s="27">
        <f>-sum(17.95)</f>
        <v>-17.95</v>
      </c>
      <c r="G22" s="27"/>
      <c r="H22" s="19"/>
      <c r="I22" s="19"/>
      <c r="J22" s="19"/>
      <c r="K22" s="27">
        <f>-sum(37.48,190)</f>
        <v>-227.48</v>
      </c>
      <c r="L22" s="28"/>
      <c r="M22" s="21"/>
      <c r="N22" s="29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26">
        <v>44205.0</v>
      </c>
      <c r="B23" s="27"/>
      <c r="C23" s="27" t="str">
        <f>'2021_income'!B23</f>
        <v/>
      </c>
      <c r="D23" s="19"/>
      <c r="E23" s="27"/>
      <c r="F23" s="27">
        <f>-sum(4.95,26.24,47.56)</f>
        <v>-78.75</v>
      </c>
      <c r="G23" s="27"/>
      <c r="H23" s="19"/>
      <c r="I23" s="19"/>
      <c r="J23" s="19"/>
      <c r="K23" s="19">
        <f>-9.5*2</f>
        <v>-19</v>
      </c>
      <c r="L23" s="28"/>
      <c r="M23" s="21"/>
      <c r="N23" s="2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26">
        <v>44206.0</v>
      </c>
      <c r="B24" s="27"/>
      <c r="C24" s="27" t="str">
        <f>'2021_income'!B24</f>
        <v/>
      </c>
      <c r="D24" s="19"/>
      <c r="E24" s="27"/>
      <c r="F24" s="27">
        <f>-sum(12,20,25.9)</f>
        <v>-57.9</v>
      </c>
      <c r="G24" s="27"/>
      <c r="H24" s="19"/>
      <c r="I24" s="19"/>
      <c r="J24" s="19"/>
      <c r="K24" s="19"/>
      <c r="L24" s="28"/>
      <c r="M24" s="21"/>
      <c r="N24" s="2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26">
        <v>44207.0</v>
      </c>
      <c r="B25" s="27"/>
      <c r="C25" s="27" t="str">
        <f>'2021_income'!B25</f>
        <v/>
      </c>
      <c r="D25" s="19"/>
      <c r="E25" s="27">
        <v>-20.0</v>
      </c>
      <c r="F25" s="27">
        <f>-sum(6.5)</f>
        <v>-6.5</v>
      </c>
      <c r="G25" s="19"/>
      <c r="H25" s="19"/>
      <c r="I25" s="19"/>
      <c r="J25" s="19"/>
      <c r="K25" s="27">
        <v>87.36</v>
      </c>
      <c r="L25" s="28"/>
      <c r="M25" s="21"/>
      <c r="N25" s="29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9.5" customHeight="1">
      <c r="A26" s="26">
        <v>44208.0</v>
      </c>
      <c r="B26" s="27"/>
      <c r="C26" s="27" t="str">
        <f>'2021_income'!B26</f>
        <v/>
      </c>
      <c r="D26" s="19"/>
      <c r="E26" s="27">
        <v>-960.0</v>
      </c>
      <c r="F26" s="27">
        <v>-52.33</v>
      </c>
      <c r="G26" s="27"/>
      <c r="H26" s="19"/>
      <c r="I26" s="19"/>
      <c r="J26" s="19"/>
      <c r="K26" s="19"/>
      <c r="L26" s="28"/>
      <c r="M26" s="21"/>
      <c r="N26" s="29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9.5" customHeight="1">
      <c r="A27" s="26">
        <v>44209.0</v>
      </c>
      <c r="B27" s="27"/>
      <c r="C27" s="27" t="str">
        <f>'2021_income'!B27</f>
        <v/>
      </c>
      <c r="D27" s="19"/>
      <c r="E27" s="27">
        <v>-37.29</v>
      </c>
      <c r="F27" s="27">
        <f>-sum(45,18.88)</f>
        <v>-63.88</v>
      </c>
      <c r="G27" s="27"/>
      <c r="H27" s="19"/>
      <c r="I27" s="19"/>
      <c r="J27" s="19"/>
      <c r="K27" s="19"/>
      <c r="L27" s="30"/>
      <c r="M27" s="30"/>
      <c r="N27" s="29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9.5" customHeight="1">
      <c r="A28" s="26">
        <v>44210.0</v>
      </c>
      <c r="B28" s="27"/>
      <c r="C28" s="27" t="str">
        <f>'2021_income'!B28</f>
        <v/>
      </c>
      <c r="D28" s="19"/>
      <c r="E28" s="19"/>
      <c r="F28" s="27">
        <f>-sum(6.95,18.93,8.49,9.33)</f>
        <v>-43.7</v>
      </c>
      <c r="G28" s="27"/>
      <c r="H28" s="19"/>
      <c r="I28" s="19"/>
      <c r="J28" s="19"/>
      <c r="K28" s="19"/>
      <c r="L28" s="31"/>
      <c r="M28" s="30"/>
      <c r="N28" s="2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9.5" customHeight="1">
      <c r="A29" s="26">
        <v>44211.0</v>
      </c>
      <c r="B29" s="27"/>
      <c r="C29" s="27" t="str">
        <f>'2021_income'!B29</f>
        <v/>
      </c>
      <c r="D29" s="19"/>
      <c r="E29" s="19"/>
      <c r="F29" s="27">
        <f>-sum(14.3)</f>
        <v>-14.3</v>
      </c>
      <c r="G29" s="27"/>
      <c r="H29" s="19"/>
      <c r="I29" s="19"/>
      <c r="J29" s="19"/>
      <c r="K29" s="19"/>
      <c r="L29" s="31"/>
      <c r="M29" s="30"/>
      <c r="N29" s="29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9.5" customHeight="1">
      <c r="A30" s="26">
        <v>44212.0</v>
      </c>
      <c r="B30" s="27"/>
      <c r="C30" s="27" t="str">
        <f>'2021_income'!B30</f>
        <v/>
      </c>
      <c r="D30" s="19"/>
      <c r="E30" s="19"/>
      <c r="F30" s="27">
        <f>-sum(19.05,2.5)</f>
        <v>-21.55</v>
      </c>
      <c r="G30" s="27">
        <f>-sum(186.66,335.71)</f>
        <v>-522.37</v>
      </c>
      <c r="H30" s="19"/>
      <c r="I30" s="19"/>
      <c r="J30" s="19"/>
      <c r="K30" s="19"/>
      <c r="L30" s="31"/>
      <c r="M30" s="30"/>
      <c r="N30" s="29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9.5" customHeight="1">
      <c r="A31" s="26">
        <v>44213.0</v>
      </c>
      <c r="B31" s="27"/>
      <c r="C31" s="27" t="str">
        <f>'2021_income'!B31</f>
        <v/>
      </c>
      <c r="D31" s="19"/>
      <c r="E31" s="19"/>
      <c r="F31" s="19">
        <f>-sum(36.34,32,25.35)</f>
        <v>-93.69</v>
      </c>
      <c r="G31" s="19"/>
      <c r="H31" s="19"/>
      <c r="I31" s="19"/>
      <c r="J31" s="27"/>
      <c r="K31" s="27"/>
      <c r="L31" s="30"/>
      <c r="M31" s="30"/>
      <c r="N31" s="2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9.5" customHeight="1">
      <c r="A32" s="26">
        <v>44214.0</v>
      </c>
      <c r="B32" s="19"/>
      <c r="C32" s="27" t="str">
        <f>'2021_income'!B32</f>
        <v/>
      </c>
      <c r="D32" s="13"/>
      <c r="E32" s="19"/>
      <c r="F32" s="19">
        <f>-sum(0.7)</f>
        <v>-0.7</v>
      </c>
      <c r="G32" s="27">
        <v>-600.0</v>
      </c>
      <c r="H32" s="19"/>
      <c r="I32" s="19"/>
      <c r="J32" s="19"/>
      <c r="K32" s="27">
        <v>-35.8</v>
      </c>
      <c r="L32" s="30"/>
      <c r="M32" s="30"/>
      <c r="N32" s="29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9.5" customHeight="1">
      <c r="A33" s="26">
        <v>44215.0</v>
      </c>
      <c r="B33" s="27"/>
      <c r="C33" s="27" t="str">
        <f>'2021_income'!B33</f>
        <v/>
      </c>
      <c r="D33" s="19"/>
      <c r="E33" s="27">
        <f>-sum(9,14)</f>
        <v>-23</v>
      </c>
      <c r="F33" s="19">
        <f>-sum(10.63,12.5,34.8)</f>
        <v>-57.93</v>
      </c>
      <c r="G33" s="19"/>
      <c r="H33" s="19"/>
      <c r="I33" s="19"/>
      <c r="J33" s="19"/>
      <c r="K33" s="19"/>
      <c r="L33" s="30"/>
      <c r="M33" s="30"/>
      <c r="N33" s="29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9.5" customHeight="1">
      <c r="A34" s="26">
        <v>44216.0</v>
      </c>
      <c r="B34" s="27"/>
      <c r="C34" s="27" t="str">
        <f>'2021_income'!B34</f>
        <v/>
      </c>
      <c r="D34" s="19"/>
      <c r="E34" s="27">
        <v>-61.84</v>
      </c>
      <c r="F34" s="27">
        <f>-sum(5,4.95,12.24,-27.94,54.38)</f>
        <v>-48.63</v>
      </c>
      <c r="G34" s="27"/>
      <c r="H34" s="19"/>
      <c r="I34" s="19"/>
      <c r="J34" s="27"/>
      <c r="K34" s="19"/>
      <c r="L34" s="30"/>
      <c r="M34" s="30"/>
      <c r="N34" s="29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9.5" customHeight="1">
      <c r="A35" s="26">
        <v>44217.0</v>
      </c>
      <c r="B35" s="27"/>
      <c r="C35" s="27" t="str">
        <f>'2021_income'!B35</f>
        <v/>
      </c>
      <c r="D35" s="19"/>
      <c r="E35" s="19"/>
      <c r="F35" s="27">
        <f>-sum(14.3,16.8)</f>
        <v>-31.1</v>
      </c>
      <c r="G35" s="27"/>
      <c r="H35" s="19"/>
      <c r="I35" s="19"/>
      <c r="J35" s="19"/>
      <c r="K35" s="19"/>
      <c r="L35" s="30"/>
      <c r="M35" s="30"/>
      <c r="N35" s="29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9.5" customHeight="1">
      <c r="A36" s="26">
        <v>44218.0</v>
      </c>
      <c r="B36" s="27"/>
      <c r="C36" s="27" t="str">
        <f>'2021_income'!B36</f>
        <v/>
      </c>
      <c r="D36" s="19"/>
      <c r="E36" s="19"/>
      <c r="F36" s="27"/>
      <c r="G36" s="27"/>
      <c r="H36" s="19"/>
      <c r="I36" s="19"/>
      <c r="J36" s="19"/>
      <c r="K36" s="19"/>
      <c r="L36" s="30"/>
      <c r="M36" s="30"/>
      <c r="N36" s="29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9.5" customHeight="1">
      <c r="A37" s="26">
        <v>44219.0</v>
      </c>
      <c r="B37" s="27"/>
      <c r="C37" s="27" t="str">
        <f>'2021_income'!B37</f>
        <v/>
      </c>
      <c r="D37" s="19"/>
      <c r="E37" s="27"/>
      <c r="F37" s="27">
        <v>-24.0</v>
      </c>
      <c r="G37" s="19"/>
      <c r="H37" s="19"/>
      <c r="I37" s="19"/>
      <c r="J37" s="19"/>
      <c r="K37" s="19"/>
      <c r="L37" s="30"/>
      <c r="M37" s="30"/>
      <c r="N37" s="29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9.5" customHeight="1">
      <c r="A38" s="26">
        <v>44220.0</v>
      </c>
      <c r="B38" s="27"/>
      <c r="C38" s="27" t="str">
        <f>'2021_income'!B38</f>
        <v/>
      </c>
      <c r="D38" s="19"/>
      <c r="E38" s="19"/>
      <c r="F38" s="27">
        <f>-sum(6,9.9)</f>
        <v>-15.9</v>
      </c>
      <c r="G38" s="27"/>
      <c r="H38" s="19"/>
      <c r="I38" s="19"/>
      <c r="J38" s="19"/>
      <c r="K38" s="19"/>
      <c r="L38" s="30"/>
      <c r="M38" s="30"/>
      <c r="N38" s="29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9.5" customHeight="1">
      <c r="A39" s="26">
        <v>44221.0</v>
      </c>
      <c r="B39" s="27"/>
      <c r="C39" s="27" t="str">
        <f>'2021_income'!B39</f>
        <v/>
      </c>
      <c r="D39" s="19"/>
      <c r="E39" s="27"/>
      <c r="F39" s="27">
        <v>-38.07</v>
      </c>
      <c r="G39" s="27"/>
      <c r="H39" s="19"/>
      <c r="I39" s="19"/>
      <c r="J39" s="19"/>
      <c r="K39" s="19"/>
      <c r="L39" s="30"/>
      <c r="M39" s="30"/>
      <c r="N39" s="2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9.5" customHeight="1">
      <c r="A40" s="26">
        <v>44222.0</v>
      </c>
      <c r="B40" s="27"/>
      <c r="C40" s="27" t="str">
        <f>'2021_income'!B40</f>
        <v/>
      </c>
      <c r="D40" s="19"/>
      <c r="E40" s="27"/>
      <c r="F40" s="27">
        <f>-sum(5.2)</f>
        <v>-5.2</v>
      </c>
      <c r="G40" s="27"/>
      <c r="H40" s="19"/>
      <c r="I40" s="19"/>
      <c r="J40" s="19"/>
      <c r="K40" s="19"/>
      <c r="L40" s="30"/>
      <c r="M40" s="30"/>
      <c r="N40" s="29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9.5" customHeight="1">
      <c r="A41" s="26">
        <v>44223.0</v>
      </c>
      <c r="B41" s="27"/>
      <c r="C41" s="27" t="str">
        <f>'2021_income'!B41</f>
        <v/>
      </c>
      <c r="D41" s="19"/>
      <c r="E41" s="19"/>
      <c r="F41" s="27"/>
      <c r="G41" s="27"/>
      <c r="H41" s="19"/>
      <c r="I41" s="19"/>
      <c r="J41" s="19"/>
      <c r="K41" s="19"/>
      <c r="L41" s="30"/>
      <c r="M41" s="30"/>
      <c r="N41" s="29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9.5" customHeight="1">
      <c r="A42" s="26">
        <v>44224.0</v>
      </c>
      <c r="B42" s="27"/>
      <c r="C42" s="27" t="str">
        <f>'2021_income'!B42</f>
        <v/>
      </c>
      <c r="D42" s="19"/>
      <c r="E42" s="27">
        <v>-53.27</v>
      </c>
      <c r="F42" s="27">
        <v>40.27</v>
      </c>
      <c r="G42" s="19"/>
      <c r="H42" s="19"/>
      <c r="I42" s="27"/>
      <c r="J42" s="19"/>
      <c r="K42" s="27">
        <v>-95.0</v>
      </c>
      <c r="L42" s="30"/>
      <c r="M42" s="30"/>
      <c r="N42" s="29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9.5" customHeight="1">
      <c r="A43" s="26">
        <v>44225.0</v>
      </c>
      <c r="B43" s="27"/>
      <c r="C43" s="27" t="str">
        <f>'2021_income'!B43</f>
        <v/>
      </c>
      <c r="D43" s="19"/>
      <c r="E43" s="27">
        <v>-4.0</v>
      </c>
      <c r="F43" s="27">
        <f>-sum(36.23,7.15)</f>
        <v>-43.38</v>
      </c>
      <c r="G43" s="27"/>
      <c r="H43" s="19"/>
      <c r="I43" s="19"/>
      <c r="J43" s="19"/>
      <c r="K43" s="27">
        <v>-4.49</v>
      </c>
      <c r="L43" s="30"/>
      <c r="M43" s="30"/>
      <c r="N43" s="29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9.5" customHeight="1">
      <c r="A44" s="26">
        <v>44226.0</v>
      </c>
      <c r="B44" s="27"/>
      <c r="C44" s="27" t="str">
        <f>'2021_income'!B44</f>
        <v/>
      </c>
      <c r="D44" s="19"/>
      <c r="E44" s="27"/>
      <c r="F44" s="19">
        <f>-sum(10,23.6)</f>
        <v>-33.6</v>
      </c>
      <c r="G44" s="19"/>
      <c r="H44" s="19"/>
      <c r="I44" s="19"/>
      <c r="J44" s="19"/>
      <c r="K44" s="19"/>
      <c r="L44" s="30"/>
      <c r="M44" s="30"/>
      <c r="N44" s="29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9.5" customHeight="1">
      <c r="A45" s="26">
        <v>44227.0</v>
      </c>
      <c r="B45" s="27"/>
      <c r="C45" s="27" t="str">
        <f>'2021_income'!B45</f>
        <v/>
      </c>
      <c r="D45" s="19"/>
      <c r="E45" s="27"/>
      <c r="F45" s="19">
        <f>-sum(3.8,9.33,146.46)</f>
        <v>-159.59</v>
      </c>
      <c r="G45" s="19"/>
      <c r="H45" s="19"/>
      <c r="I45" s="27"/>
      <c r="J45" s="19"/>
      <c r="K45" s="19"/>
      <c r="L45" s="30"/>
      <c r="M45" s="30"/>
      <c r="N45" s="29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9.5" customHeight="1">
      <c r="A46" s="26">
        <v>44228.0</v>
      </c>
      <c r="B46" s="27"/>
      <c r="C46" s="27" t="str">
        <f>'2021_income'!B46</f>
        <v/>
      </c>
      <c r="D46" s="19"/>
      <c r="E46" s="19"/>
      <c r="F46" s="27">
        <f>-sum(60.05,21.8)</f>
        <v>-81.85</v>
      </c>
      <c r="G46" s="27">
        <f>-sum(70,600)</f>
        <v>-670</v>
      </c>
      <c r="H46" s="19"/>
      <c r="I46" s="19"/>
      <c r="J46" s="19"/>
      <c r="K46" s="19"/>
      <c r="L46" s="30"/>
      <c r="M46" s="3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9.5" customHeight="1">
      <c r="A47" s="26">
        <v>44229.0</v>
      </c>
      <c r="B47" s="27"/>
      <c r="C47" s="27" t="str">
        <f>'2021_income'!B47</f>
        <v/>
      </c>
      <c r="D47" s="19"/>
      <c r="E47" s="19"/>
      <c r="F47" s="27">
        <f>-sum(4.9,30.69,3.8,3.95,6.55)</f>
        <v>-49.89</v>
      </c>
      <c r="G47" s="27"/>
      <c r="H47" s="19"/>
      <c r="I47" s="19"/>
      <c r="J47" s="27">
        <v>-38.99</v>
      </c>
      <c r="K47" s="19"/>
      <c r="L47" s="30"/>
      <c r="M47" s="3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9.5" customHeight="1">
      <c r="A48" s="26">
        <v>44230.0</v>
      </c>
      <c r="B48" s="27"/>
      <c r="C48" s="27" t="str">
        <f>'2021_income'!B48</f>
        <v/>
      </c>
      <c r="D48" s="19"/>
      <c r="E48" s="19"/>
      <c r="F48" s="27"/>
      <c r="G48" s="19"/>
      <c r="H48" s="27"/>
      <c r="I48" s="19"/>
      <c r="J48" s="19"/>
      <c r="K48" s="19"/>
      <c r="L48" s="30"/>
      <c r="M48" s="30"/>
      <c r="N48" s="2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9.5" customHeight="1">
      <c r="A49" s="26">
        <v>44231.0</v>
      </c>
      <c r="B49" s="27"/>
      <c r="C49" s="27" t="str">
        <f>'2021_income'!B49</f>
        <v/>
      </c>
      <c r="D49" s="19"/>
      <c r="E49" s="27"/>
      <c r="F49" s="27"/>
      <c r="G49" s="27"/>
      <c r="H49" s="19"/>
      <c r="I49" s="19"/>
      <c r="J49" s="19"/>
      <c r="K49" s="19"/>
      <c r="L49" s="30"/>
      <c r="M49" s="30"/>
      <c r="N49" s="2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9.5" customHeight="1">
      <c r="A50" s="26">
        <v>44232.0</v>
      </c>
      <c r="B50" s="27"/>
      <c r="C50" s="27" t="str">
        <f>'2021_income'!B50</f>
        <v/>
      </c>
      <c r="D50" s="19"/>
      <c r="E50" s="27"/>
      <c r="F50" s="27">
        <f>-sum(135,10,10.61,27.41,9.22,9)</f>
        <v>-201.24</v>
      </c>
      <c r="G50" s="19"/>
      <c r="H50" s="19"/>
      <c r="I50" s="19"/>
      <c r="J50" s="19"/>
      <c r="K50" s="27">
        <v>-70.97</v>
      </c>
      <c r="L50" s="30"/>
      <c r="M50" s="30"/>
      <c r="N50" s="2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9.5" customHeight="1">
      <c r="A51" s="26">
        <v>44233.0</v>
      </c>
      <c r="B51" s="27"/>
      <c r="C51" s="27" t="str">
        <f>'2021_income'!B51</f>
        <v/>
      </c>
      <c r="D51" s="19"/>
      <c r="E51" s="27">
        <f>-sum(268,51.77)</f>
        <v>-319.77</v>
      </c>
      <c r="F51" s="27">
        <f>-sum(50,4.9)</f>
        <v>-54.9</v>
      </c>
      <c r="G51" s="27"/>
      <c r="H51" s="19"/>
      <c r="I51" s="19"/>
      <c r="J51" s="19"/>
      <c r="K51" s="19"/>
      <c r="L51" s="30"/>
      <c r="M51" s="30"/>
      <c r="N51" s="2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9.5" customHeight="1">
      <c r="A52" s="26">
        <v>44234.0</v>
      </c>
      <c r="B52" s="27"/>
      <c r="C52" s="27" t="str">
        <f>'2021_income'!B52</f>
        <v/>
      </c>
      <c r="D52" s="19"/>
      <c r="E52" s="27"/>
      <c r="F52" s="27">
        <f>-sum(29.28,14.45,5.05)</f>
        <v>-48.78</v>
      </c>
      <c r="G52" s="19"/>
      <c r="H52" s="19"/>
      <c r="I52" s="19"/>
      <c r="J52" s="19"/>
      <c r="K52" s="19"/>
      <c r="L52" s="30"/>
      <c r="M52" s="30"/>
      <c r="N52" s="3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9.5" customHeight="1">
      <c r="A53" s="26">
        <v>44235.0</v>
      </c>
      <c r="B53" s="27"/>
      <c r="C53" s="27" t="str">
        <f>'2021_income'!B53</f>
        <v/>
      </c>
      <c r="D53" s="19"/>
      <c r="E53" s="27"/>
      <c r="F53" s="27">
        <f>-sum(21.17,8,9.99)</f>
        <v>-39.16</v>
      </c>
      <c r="G53" s="19"/>
      <c r="H53" s="19"/>
      <c r="I53" s="19"/>
      <c r="J53" s="19"/>
      <c r="K53" s="19"/>
      <c r="L53" s="30"/>
      <c r="M53" s="3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9.5" customHeight="1">
      <c r="A54" s="26">
        <v>44236.0</v>
      </c>
      <c r="B54" s="27"/>
      <c r="C54" s="27" t="str">
        <f>'2021_income'!B54</f>
        <v/>
      </c>
      <c r="D54" s="19"/>
      <c r="E54" s="27"/>
      <c r="F54" s="19">
        <f>-sum(2.3,3.3,2.5,6.4)</f>
        <v>-14.5</v>
      </c>
      <c r="G54" s="19"/>
      <c r="H54" s="19"/>
      <c r="I54" s="19"/>
      <c r="J54" s="19"/>
      <c r="K54" s="19"/>
      <c r="L54" s="30"/>
      <c r="M54" s="3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9.5" customHeight="1">
      <c r="A55" s="26">
        <v>44237.0</v>
      </c>
      <c r="B55" s="27"/>
      <c r="C55" s="27" t="str">
        <f>'2021_income'!B55</f>
        <v/>
      </c>
      <c r="D55" s="19"/>
      <c r="E55" s="19"/>
      <c r="F55" s="27">
        <f>-sum(4.9,24.5,36.21,8.8)</f>
        <v>-74.41</v>
      </c>
      <c r="G55" s="27"/>
      <c r="H55" s="19"/>
      <c r="I55" s="19"/>
      <c r="J55" s="19"/>
      <c r="K55" s="19"/>
      <c r="L55" s="30"/>
      <c r="M55" s="30"/>
      <c r="N55" s="2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9.5" customHeight="1">
      <c r="A56" s="26">
        <v>44238.0</v>
      </c>
      <c r="B56" s="19"/>
      <c r="C56" s="27" t="str">
        <f>'2021_income'!B56</f>
        <v/>
      </c>
      <c r="D56" s="19"/>
      <c r="E56" s="19"/>
      <c r="F56" s="27"/>
      <c r="G56" s="19"/>
      <c r="H56" s="19"/>
      <c r="I56" s="19"/>
      <c r="J56" s="19"/>
      <c r="K56" s="19"/>
      <c r="L56" s="30"/>
      <c r="M56" s="3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9.5" customHeight="1">
      <c r="A57" s="26">
        <v>44239.0</v>
      </c>
      <c r="B57" s="27"/>
      <c r="C57" s="27" t="str">
        <f>'2021_income'!B57</f>
        <v/>
      </c>
      <c r="D57" s="19"/>
      <c r="E57" s="27"/>
      <c r="F57" s="19">
        <f>-sum(4.9,5.9,33.35,5.48,13.03)</f>
        <v>-62.66</v>
      </c>
      <c r="G57" s="19"/>
      <c r="H57" s="19"/>
      <c r="I57" s="19"/>
      <c r="J57" s="19"/>
      <c r="K57" s="19"/>
      <c r="L57" s="30"/>
      <c r="M57" s="30"/>
      <c r="N57" s="3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9.5" customHeight="1">
      <c r="A58" s="26">
        <v>44240.0</v>
      </c>
      <c r="B58" s="27"/>
      <c r="C58" s="27" t="str">
        <f>'2021_income'!B58</f>
        <v/>
      </c>
      <c r="D58" s="19"/>
      <c r="E58" s="27"/>
      <c r="F58" s="19"/>
      <c r="G58" s="19"/>
      <c r="H58" s="19"/>
      <c r="I58" s="19"/>
      <c r="J58" s="19"/>
      <c r="K58" s="19"/>
      <c r="L58" s="30"/>
      <c r="M58" s="3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9.5" customHeight="1">
      <c r="A59" s="26">
        <v>44241.0</v>
      </c>
      <c r="B59" s="27"/>
      <c r="C59" s="27" t="str">
        <f>'2021_income'!B59</f>
        <v/>
      </c>
      <c r="D59" s="19"/>
      <c r="E59" s="27"/>
      <c r="F59" s="19"/>
      <c r="G59" s="19"/>
      <c r="H59" s="19"/>
      <c r="I59" s="19"/>
      <c r="J59" s="19"/>
      <c r="K59" s="19"/>
      <c r="L59" s="30"/>
      <c r="M59" s="3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9.5" customHeight="1">
      <c r="A60" s="26">
        <v>44242.0</v>
      </c>
      <c r="B60" s="27"/>
      <c r="C60" s="27" t="str">
        <f>'2021_income'!B60</f>
        <v/>
      </c>
      <c r="D60" s="19"/>
      <c r="E60" s="19"/>
      <c r="F60" s="27">
        <f>-sum(7.46,6.75,3.5,36,5.5)</f>
        <v>-59.21</v>
      </c>
      <c r="G60" s="27">
        <v>-600.0</v>
      </c>
      <c r="H60" s="19"/>
      <c r="I60" s="19"/>
      <c r="J60" s="19"/>
      <c r="K60" s="19"/>
      <c r="L60" s="30"/>
      <c r="M60" s="30"/>
      <c r="N60" s="2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9.5" customHeight="1">
      <c r="A61" s="26">
        <v>44243.0</v>
      </c>
      <c r="B61" s="27"/>
      <c r="C61" s="27" t="str">
        <f>'2021_income'!B61</f>
        <v/>
      </c>
      <c r="D61" s="19"/>
      <c r="E61" s="33">
        <v>-46.61</v>
      </c>
      <c r="F61" s="19"/>
      <c r="G61" s="19"/>
      <c r="H61" s="27"/>
      <c r="I61" s="19"/>
      <c r="J61" s="19"/>
      <c r="K61" s="19"/>
      <c r="L61" s="30"/>
      <c r="M61" s="30"/>
      <c r="N61" s="29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9.5" customHeight="1">
      <c r="A62" s="26">
        <v>44244.0</v>
      </c>
      <c r="B62" s="27"/>
      <c r="C62" s="27" t="str">
        <f>'2021_income'!B62</f>
        <v/>
      </c>
      <c r="D62" s="19"/>
      <c r="E62" s="19"/>
      <c r="F62" s="27">
        <f>-sum(2.5,9)</f>
        <v>-11.5</v>
      </c>
      <c r="G62" s="27"/>
      <c r="H62" s="19"/>
      <c r="I62" s="19"/>
      <c r="J62" s="19"/>
      <c r="K62" s="19"/>
      <c r="L62" s="30"/>
      <c r="M62" s="30"/>
      <c r="N62" s="2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9.5" customHeight="1">
      <c r="A63" s="26">
        <v>44245.0</v>
      </c>
      <c r="B63" s="27"/>
      <c r="C63" s="27" t="str">
        <f>'2021_income'!B63</f>
        <v/>
      </c>
      <c r="D63" s="19"/>
      <c r="E63" s="27"/>
      <c r="F63" s="27">
        <v>-10.6</v>
      </c>
      <c r="G63" s="19"/>
      <c r="H63" s="19"/>
      <c r="I63" s="19"/>
      <c r="J63" s="19"/>
      <c r="K63" s="19"/>
      <c r="L63" s="30"/>
      <c r="M63" s="30"/>
      <c r="N63" s="2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9.5" customHeight="1">
      <c r="A64" s="26">
        <v>44246.0</v>
      </c>
      <c r="B64" s="27"/>
      <c r="C64" s="27" t="str">
        <f>'2021_income'!B64</f>
        <v/>
      </c>
      <c r="D64" s="19"/>
      <c r="E64" s="19"/>
      <c r="F64" s="27">
        <f>-sum(34.28,4.9,2,14.44,21.23,5.6)</f>
        <v>-82.45</v>
      </c>
      <c r="G64" s="27"/>
      <c r="H64" s="19"/>
      <c r="I64" s="19"/>
      <c r="J64" s="19"/>
      <c r="K64" s="19"/>
      <c r="L64" s="30"/>
      <c r="M64" s="30"/>
      <c r="N64" s="29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9.5" customHeight="1">
      <c r="A65" s="26">
        <v>44247.0</v>
      </c>
      <c r="B65" s="27"/>
      <c r="C65" s="27" t="str">
        <f>'2021_income'!B65</f>
        <v/>
      </c>
      <c r="D65" s="19"/>
      <c r="E65" s="19"/>
      <c r="F65" s="27">
        <f>-sum(20.02,29.89)</f>
        <v>-49.91</v>
      </c>
      <c r="G65" s="27"/>
      <c r="H65" s="19"/>
      <c r="I65" s="19"/>
      <c r="J65" s="19"/>
      <c r="K65" s="19"/>
      <c r="L65" s="30"/>
      <c r="M65" s="30"/>
      <c r="N65" s="29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9.5" customHeight="1">
      <c r="A66" s="26">
        <v>44248.0</v>
      </c>
      <c r="B66" s="27"/>
      <c r="C66" s="27" t="str">
        <f>'2021_income'!B66</f>
        <v/>
      </c>
      <c r="D66" s="19"/>
      <c r="E66" s="19"/>
      <c r="F66" s="27">
        <f>-sum(10.39,6.9,2.5,22.4,42.69)</f>
        <v>-84.88</v>
      </c>
      <c r="G66" s="27"/>
      <c r="H66" s="19"/>
      <c r="I66" s="19"/>
      <c r="J66" s="19"/>
      <c r="K66" s="19"/>
      <c r="L66" s="30"/>
      <c r="M66" s="30"/>
      <c r="N66" s="29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9.5" customHeight="1">
      <c r="A67" s="26">
        <v>44249.0</v>
      </c>
      <c r="B67" s="27"/>
      <c r="C67" s="27" t="str">
        <f>'2021_income'!B67</f>
        <v/>
      </c>
      <c r="D67" s="19"/>
      <c r="E67" s="19"/>
      <c r="F67" s="27">
        <f>-sum(12.5,4.15,12.32)</f>
        <v>-28.97</v>
      </c>
      <c r="G67" s="27"/>
      <c r="H67" s="19"/>
      <c r="I67" s="19"/>
      <c r="J67" s="19"/>
      <c r="K67" s="19"/>
      <c r="L67" s="30"/>
      <c r="M67" s="30"/>
      <c r="N67" s="2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9.5" customHeight="1">
      <c r="A68" s="26">
        <v>44250.0</v>
      </c>
      <c r="B68" s="27"/>
      <c r="C68" s="27" t="str">
        <f>'2021_income'!B68</f>
        <v/>
      </c>
      <c r="D68" s="19"/>
      <c r="E68" s="27"/>
      <c r="F68" s="27">
        <f>-sum(36,70.67)</f>
        <v>-106.67</v>
      </c>
      <c r="G68" s="27"/>
      <c r="H68" s="19"/>
      <c r="I68" s="19"/>
      <c r="J68" s="19"/>
      <c r="K68" s="19"/>
      <c r="L68" s="30"/>
      <c r="M68" s="30"/>
      <c r="N68" s="2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9.5" customHeight="1">
      <c r="A69" s="26">
        <v>44251.0</v>
      </c>
      <c r="B69" s="27"/>
      <c r="C69" s="27" t="str">
        <f>'2021_income'!B69</f>
        <v/>
      </c>
      <c r="D69" s="19"/>
      <c r="E69" s="27"/>
      <c r="F69" s="19">
        <f>-sum(13,7.15,12.32,35.2,14,33.14)</f>
        <v>-114.81</v>
      </c>
      <c r="G69" s="19"/>
      <c r="H69" s="19"/>
      <c r="I69" s="19"/>
      <c r="J69" s="19"/>
      <c r="K69" s="19"/>
      <c r="L69" s="30"/>
      <c r="M69" s="30"/>
      <c r="N69" s="2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9.5" customHeight="1">
      <c r="A70" s="26">
        <v>44252.0</v>
      </c>
      <c r="B70" s="27"/>
      <c r="C70" s="27" t="str">
        <f>'2021_income'!B70</f>
        <v/>
      </c>
      <c r="D70" s="19"/>
      <c r="E70" s="27">
        <v>-30.06</v>
      </c>
      <c r="F70" s="27">
        <f>-sum(21,7.75)</f>
        <v>-28.75</v>
      </c>
      <c r="G70" s="27"/>
      <c r="H70" s="19"/>
      <c r="I70" s="19"/>
      <c r="J70" s="27"/>
      <c r="K70" s="27">
        <v>-95.0</v>
      </c>
      <c r="L70" s="30"/>
      <c r="M70" s="30"/>
      <c r="N70" s="2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9.5" customHeight="1">
      <c r="A71" s="26">
        <v>44253.0</v>
      </c>
      <c r="B71" s="27"/>
      <c r="C71" s="27" t="str">
        <f>'2021_income'!B71</f>
        <v/>
      </c>
      <c r="D71" s="19"/>
      <c r="E71" s="19"/>
      <c r="F71" s="27">
        <f>-sum(13.8,8.15,17)</f>
        <v>-38.95</v>
      </c>
      <c r="G71" s="27"/>
      <c r="H71" s="19"/>
      <c r="I71" s="19"/>
      <c r="J71" s="19"/>
      <c r="K71" s="19"/>
      <c r="L71" s="30"/>
      <c r="M71" s="30"/>
      <c r="N71" s="2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9.5" customHeight="1">
      <c r="A72" s="26">
        <v>44254.0</v>
      </c>
      <c r="B72" s="27"/>
      <c r="C72" s="27" t="str">
        <f>'2021_income'!B72</f>
        <v/>
      </c>
      <c r="D72" s="19"/>
      <c r="E72" s="19"/>
      <c r="F72" s="27">
        <f>-sum(23.8,20,5)</f>
        <v>-48.8</v>
      </c>
      <c r="G72" s="27"/>
      <c r="H72" s="19"/>
      <c r="I72" s="27">
        <v>-825.0</v>
      </c>
      <c r="J72" s="19"/>
      <c r="K72" s="19"/>
      <c r="L72" s="30"/>
      <c r="M72" s="30"/>
      <c r="N72" s="2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9.5" customHeight="1">
      <c r="A73" s="26">
        <v>44255.0</v>
      </c>
      <c r="B73" s="27"/>
      <c r="C73" s="27" t="str">
        <f>'2021_income'!B73</f>
        <v/>
      </c>
      <c r="D73" s="19"/>
      <c r="E73" s="27"/>
      <c r="F73" s="19">
        <f>-sum(18.55,15)</f>
        <v>-33.55</v>
      </c>
      <c r="G73" s="19"/>
      <c r="H73" s="19"/>
      <c r="I73" s="19"/>
      <c r="J73" s="19"/>
      <c r="K73" s="19"/>
      <c r="L73" s="30"/>
      <c r="M73" s="30"/>
      <c r="N73" s="2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9.5" customHeight="1">
      <c r="A74" s="26">
        <v>44256.0</v>
      </c>
      <c r="B74" s="19"/>
      <c r="C74" s="27" t="str">
        <f>'2021_income'!B74</f>
        <v/>
      </c>
      <c r="D74" s="19"/>
      <c r="E74" s="19"/>
      <c r="F74" s="27">
        <f>-sum(35.25,5)</f>
        <v>-40.25</v>
      </c>
      <c r="G74" s="19">
        <f>-sum(600,70,184.77)</f>
        <v>-854.77</v>
      </c>
      <c r="H74" s="19"/>
      <c r="I74" s="19"/>
      <c r="J74" s="19"/>
      <c r="K74" s="19"/>
      <c r="L74" s="30"/>
      <c r="M74" s="30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9.5" customHeight="1">
      <c r="A75" s="26">
        <v>44257.0</v>
      </c>
      <c r="B75" s="19"/>
      <c r="C75" s="27" t="str">
        <f>'2021_income'!B75</f>
        <v/>
      </c>
      <c r="D75" s="19"/>
      <c r="E75" s="19"/>
      <c r="F75" s="27">
        <f>-sum(25,34.71,5.8)</f>
        <v>-65.51</v>
      </c>
      <c r="G75" s="27"/>
      <c r="H75" s="19"/>
      <c r="I75" s="19"/>
      <c r="J75" s="27"/>
      <c r="K75" s="19"/>
      <c r="L75" s="30"/>
      <c r="M75" s="30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9.5" customHeight="1">
      <c r="A76" s="26">
        <v>44258.0</v>
      </c>
      <c r="B76" s="19"/>
      <c r="C76" s="27" t="str">
        <f>'2021_income'!B76</f>
        <v/>
      </c>
      <c r="D76" s="19"/>
      <c r="E76" s="27">
        <v>-20.0</v>
      </c>
      <c r="F76" s="27">
        <f>-sum(3.85,3.23,12.5,6.46,-25,25.8)</f>
        <v>-26.84</v>
      </c>
      <c r="G76" s="27">
        <v>-111.63</v>
      </c>
      <c r="H76" s="19"/>
      <c r="I76" s="19"/>
      <c r="J76" s="19"/>
      <c r="K76" s="19"/>
      <c r="L76" s="30"/>
      <c r="M76" s="30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9.5" customHeight="1">
      <c r="A77" s="26">
        <v>44259.0</v>
      </c>
      <c r="B77" s="19"/>
      <c r="C77" s="27" t="str">
        <f>'2021_income'!B77</f>
        <v/>
      </c>
      <c r="D77" s="19"/>
      <c r="E77" s="19"/>
      <c r="F77" s="19">
        <f>-sum(4.4,18.7)</f>
        <v>-23.1</v>
      </c>
      <c r="G77" s="19"/>
      <c r="H77" s="19"/>
      <c r="I77" s="19"/>
      <c r="J77" s="27">
        <v>-26.94</v>
      </c>
      <c r="K77" s="19"/>
      <c r="L77" s="30"/>
      <c r="M77" s="30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9.5" customHeight="1">
      <c r="A78" s="26">
        <v>44260.0</v>
      </c>
      <c r="B78" s="19"/>
      <c r="C78" s="27" t="str">
        <f>'2021_income'!B78</f>
        <v/>
      </c>
      <c r="D78" s="19"/>
      <c r="E78" s="19"/>
      <c r="F78" s="27">
        <f>-sum(4.9,4.26,4.5,1.8,-39.82)</f>
        <v>24.36</v>
      </c>
      <c r="G78" s="27">
        <v>-152.0</v>
      </c>
      <c r="H78" s="19"/>
      <c r="I78" s="19"/>
      <c r="J78" s="27">
        <v>-38.99</v>
      </c>
      <c r="K78" s="19"/>
      <c r="L78" s="30"/>
      <c r="M78" s="30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9.5" customHeight="1">
      <c r="A79" s="26">
        <v>44261.0</v>
      </c>
      <c r="B79" s="19"/>
      <c r="C79" s="27" t="str">
        <f>'2021_income'!B79</f>
        <v/>
      </c>
      <c r="D79" s="19"/>
      <c r="E79" s="27">
        <v>-63.92</v>
      </c>
      <c r="F79" s="27">
        <v>-10.6</v>
      </c>
      <c r="G79" s="27"/>
      <c r="H79" s="19"/>
      <c r="I79" s="19"/>
      <c r="J79" s="27"/>
      <c r="K79" s="27"/>
      <c r="L79" s="30"/>
      <c r="M79" s="30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9.5" customHeight="1">
      <c r="A80" s="26">
        <v>44262.0</v>
      </c>
      <c r="B80" s="19"/>
      <c r="C80" s="27" t="str">
        <f>'2021_income'!B80</f>
        <v/>
      </c>
      <c r="D80" s="19"/>
      <c r="E80" s="27"/>
      <c r="F80" s="27">
        <f>-sum(27.02,2.9)</f>
        <v>-29.92</v>
      </c>
      <c r="G80" s="27"/>
      <c r="H80" s="19"/>
      <c r="I80" s="19"/>
      <c r="J80" s="19"/>
      <c r="K80" s="19"/>
      <c r="L80" s="30"/>
      <c r="M80" s="3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9.5" customHeight="1">
      <c r="A81" s="26">
        <v>44263.0</v>
      </c>
      <c r="B81" s="19"/>
      <c r="C81" s="27" t="str">
        <f>'2021_income'!B81</f>
        <v/>
      </c>
      <c r="D81" s="19"/>
      <c r="E81" s="19"/>
      <c r="F81" s="27">
        <v>20.0</v>
      </c>
      <c r="G81" s="27"/>
      <c r="H81" s="19"/>
      <c r="I81" s="19"/>
      <c r="J81" s="19"/>
      <c r="K81" s="19"/>
      <c r="L81" s="30"/>
      <c r="M81" s="30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9.5" customHeight="1">
      <c r="A82" s="26">
        <v>44264.0</v>
      </c>
      <c r="B82" s="19"/>
      <c r="C82" s="27" t="str">
        <f>'2021_income'!B82</f>
        <v/>
      </c>
      <c r="D82" s="19"/>
      <c r="E82" s="19"/>
      <c r="F82" s="27">
        <f>-sum(13.4,6.9,25.6)</f>
        <v>-45.9</v>
      </c>
      <c r="G82" s="27"/>
      <c r="H82" s="19"/>
      <c r="I82" s="19"/>
      <c r="J82" s="19"/>
      <c r="K82" s="19"/>
      <c r="L82" s="30"/>
      <c r="M82" s="30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9.5" customHeight="1">
      <c r="A83" s="26">
        <v>44265.0</v>
      </c>
      <c r="B83" s="19"/>
      <c r="C83" s="27" t="str">
        <f>'2021_income'!B83</f>
        <v/>
      </c>
      <c r="D83" s="19"/>
      <c r="E83" s="27">
        <v>-2.37</v>
      </c>
      <c r="F83" s="27">
        <f>-sum(32.7,400.99,9.9)</f>
        <v>-443.59</v>
      </c>
      <c r="G83" s="27"/>
      <c r="H83" s="19"/>
      <c r="I83" s="19"/>
      <c r="J83" s="19"/>
      <c r="K83" s="19"/>
      <c r="L83" s="30"/>
      <c r="M83" s="30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9.5" customHeight="1">
      <c r="A84" s="26">
        <v>44266.0</v>
      </c>
      <c r="B84" s="19"/>
      <c r="C84" s="27" t="str">
        <f>'2021_income'!B84</f>
        <v/>
      </c>
      <c r="D84" s="19"/>
      <c r="E84" s="19"/>
      <c r="F84" s="19"/>
      <c r="G84" s="27">
        <v>-450.0</v>
      </c>
      <c r="H84" s="19"/>
      <c r="I84" s="19"/>
      <c r="J84" s="19"/>
      <c r="K84" s="19"/>
      <c r="L84" s="30"/>
      <c r="M84" s="30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9.5" customHeight="1">
      <c r="A85" s="26">
        <v>44267.0</v>
      </c>
      <c r="B85" s="19"/>
      <c r="C85" s="27" t="str">
        <f>'2021_income'!B85</f>
        <v/>
      </c>
      <c r="D85" s="19"/>
      <c r="E85" s="27"/>
      <c r="F85" s="27">
        <f>-sum(8.95,18.16,2.8)</f>
        <v>-29.91</v>
      </c>
      <c r="G85" s="19"/>
      <c r="H85" s="19"/>
      <c r="I85" s="19"/>
      <c r="J85" s="19"/>
      <c r="K85" s="19"/>
      <c r="L85" s="30"/>
      <c r="M85" s="30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9.5" customHeight="1">
      <c r="A86" s="26">
        <v>44268.0</v>
      </c>
      <c r="B86" s="19"/>
      <c r="C86" s="27" t="str">
        <f>'2021_income'!B86</f>
        <v/>
      </c>
      <c r="D86" s="19"/>
      <c r="E86" s="27">
        <v>-20.0</v>
      </c>
      <c r="F86" s="27">
        <v>-15.0</v>
      </c>
      <c r="G86" s="27"/>
      <c r="H86" s="19"/>
      <c r="I86" s="19"/>
      <c r="J86" s="19"/>
      <c r="K86" s="19"/>
      <c r="L86" s="30"/>
      <c r="M86" s="30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9.5" customHeight="1">
      <c r="A87" s="26">
        <v>44269.0</v>
      </c>
      <c r="B87" s="19"/>
      <c r="C87" s="27" t="str">
        <f>'2021_income'!B87</f>
        <v/>
      </c>
      <c r="D87" s="19"/>
      <c r="E87" s="27"/>
      <c r="F87" s="27"/>
      <c r="G87" s="27"/>
      <c r="H87" s="19"/>
      <c r="I87" s="19"/>
      <c r="J87" s="19"/>
      <c r="K87" s="19"/>
      <c r="L87" s="30"/>
      <c r="M87" s="30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9.5" customHeight="1">
      <c r="A88" s="26">
        <v>44270.0</v>
      </c>
      <c r="B88" s="19"/>
      <c r="C88" s="27" t="str">
        <f>'2021_income'!B88</f>
        <v/>
      </c>
      <c r="D88" s="19"/>
      <c r="E88" s="19"/>
      <c r="F88" s="19">
        <f>-sum(11,42)</f>
        <v>-53</v>
      </c>
      <c r="G88" s="27">
        <v>-600.0</v>
      </c>
      <c r="H88" s="19"/>
      <c r="I88" s="19"/>
      <c r="J88" s="19"/>
      <c r="K88" s="19"/>
      <c r="L88" s="30"/>
      <c r="M88" s="30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9.5" customHeight="1">
      <c r="A89" s="26">
        <v>44271.0</v>
      </c>
      <c r="B89" s="19"/>
      <c r="C89" s="27" t="str">
        <f>'2021_income'!B89</f>
        <v/>
      </c>
      <c r="D89" s="19"/>
      <c r="E89" s="27">
        <v>-54.6</v>
      </c>
      <c r="F89" s="27">
        <f>-sum(3.63,-10.4)</f>
        <v>6.77</v>
      </c>
      <c r="G89" s="27"/>
      <c r="H89" s="19"/>
      <c r="I89" s="19"/>
      <c r="J89" s="19"/>
      <c r="K89" s="19"/>
      <c r="L89" s="30"/>
      <c r="M89" s="30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9.5" customHeight="1">
      <c r="A90" s="26">
        <v>44272.0</v>
      </c>
      <c r="B90" s="19"/>
      <c r="C90" s="27" t="str">
        <f>'2021_income'!B90</f>
        <v/>
      </c>
      <c r="D90" s="19"/>
      <c r="E90" s="19"/>
      <c r="F90" s="27">
        <f>-sum(4,6.5,19.81,1.62,7.04)</f>
        <v>-38.97</v>
      </c>
      <c r="G90" s="27"/>
      <c r="H90" s="19"/>
      <c r="I90" s="19"/>
      <c r="J90" s="19"/>
      <c r="K90" s="19"/>
      <c r="L90" s="30"/>
      <c r="M90" s="30"/>
      <c r="N90" s="2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9.5" customHeight="1">
      <c r="A91" s="26">
        <v>44273.0</v>
      </c>
      <c r="B91" s="19"/>
      <c r="C91" s="27" t="str">
        <f>'2021_income'!B91</f>
        <v/>
      </c>
      <c r="D91" s="19"/>
      <c r="E91" s="27"/>
      <c r="F91" s="27">
        <f>-sum(27.05,43.83,54.55)</f>
        <v>-125.43</v>
      </c>
      <c r="G91" s="27"/>
      <c r="H91" s="19"/>
      <c r="I91" s="19"/>
      <c r="J91" s="27"/>
      <c r="K91" s="27">
        <v>-50.0</v>
      </c>
      <c r="L91" s="30"/>
      <c r="M91" s="30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9.5" customHeight="1">
      <c r="A92" s="26">
        <v>44274.0</v>
      </c>
      <c r="B92" s="19"/>
      <c r="C92" s="27" t="str">
        <f>'2021_income'!B92</f>
        <v/>
      </c>
      <c r="D92" s="19"/>
      <c r="E92" s="19"/>
      <c r="F92" s="27">
        <v>-29.13</v>
      </c>
      <c r="G92" s="27"/>
      <c r="H92" s="19"/>
      <c r="I92" s="19"/>
      <c r="J92" s="27"/>
      <c r="K92" s="27"/>
      <c r="L92" s="30"/>
      <c r="M92" s="30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9.5" customHeight="1">
      <c r="A93" s="26">
        <v>44275.0</v>
      </c>
      <c r="B93" s="19"/>
      <c r="C93" s="27" t="str">
        <f>'2021_income'!B93</f>
        <v/>
      </c>
      <c r="D93" s="19"/>
      <c r="E93" s="27"/>
      <c r="F93" s="27">
        <f>-sum(19.35)</f>
        <v>-19.35</v>
      </c>
      <c r="G93" s="27"/>
      <c r="H93" s="19"/>
      <c r="I93" s="19"/>
      <c r="J93" s="27">
        <v>-41.0</v>
      </c>
      <c r="K93" s="19"/>
      <c r="L93" s="30"/>
      <c r="M93" s="30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9.5" customHeight="1">
      <c r="A94" s="26">
        <v>44276.0</v>
      </c>
      <c r="B94" s="19"/>
      <c r="C94" s="27" t="str">
        <f>'2021_income'!B94</f>
        <v/>
      </c>
      <c r="D94" s="19"/>
      <c r="E94" s="27"/>
      <c r="F94" s="27"/>
      <c r="G94" s="27"/>
      <c r="H94" s="19"/>
      <c r="I94" s="19"/>
      <c r="J94" s="27"/>
      <c r="K94" s="27"/>
      <c r="L94" s="30"/>
      <c r="M94" s="30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9.5" customHeight="1">
      <c r="A95" s="26">
        <v>44277.0</v>
      </c>
      <c r="B95" s="19"/>
      <c r="C95" s="27" t="str">
        <f>'2021_income'!B95</f>
        <v/>
      </c>
      <c r="D95" s="19"/>
      <c r="E95" s="27">
        <v>-2.84</v>
      </c>
      <c r="F95" s="27">
        <f>-sum(18,11.38,12,61.98,13)</f>
        <v>-116.36</v>
      </c>
      <c r="G95" s="27"/>
      <c r="H95" s="19"/>
      <c r="I95" s="19"/>
      <c r="J95" s="19"/>
      <c r="K95" s="19"/>
      <c r="L95" s="30"/>
      <c r="M95" s="30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9.5" customHeight="1">
      <c r="A96" s="26">
        <v>44278.0</v>
      </c>
      <c r="B96" s="19"/>
      <c r="C96" s="27" t="str">
        <f>'2021_income'!B96</f>
        <v/>
      </c>
      <c r="D96" s="19"/>
      <c r="E96" s="27">
        <v>-40.8</v>
      </c>
      <c r="F96" s="27">
        <f>-sum(19.66)</f>
        <v>-19.66</v>
      </c>
      <c r="G96" s="19"/>
      <c r="H96" s="19"/>
      <c r="I96" s="19"/>
      <c r="J96" s="27">
        <v>-130.0</v>
      </c>
      <c r="K96" s="19"/>
      <c r="L96" s="30"/>
      <c r="M96" s="30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9.5" customHeight="1">
      <c r="A97" s="26">
        <v>44279.0</v>
      </c>
      <c r="B97" s="19"/>
      <c r="C97" s="27" t="str">
        <f>'2021_income'!B97</f>
        <v/>
      </c>
      <c r="D97" s="19"/>
      <c r="E97" s="19"/>
      <c r="F97" s="27">
        <f>-sum(8.08,23.3,9.99,9.6)</f>
        <v>-50.97</v>
      </c>
      <c r="G97" s="27"/>
      <c r="H97" s="19"/>
      <c r="I97" s="19"/>
      <c r="J97" s="19"/>
      <c r="K97" s="27">
        <v>-8.98</v>
      </c>
      <c r="L97" s="30"/>
      <c r="M97" s="30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9.5" customHeight="1">
      <c r="A98" s="26">
        <v>44280.0</v>
      </c>
      <c r="B98" s="19"/>
      <c r="C98" s="27" t="str">
        <f>'2021_income'!B98</f>
        <v/>
      </c>
      <c r="D98" s="19"/>
      <c r="E98" s="19"/>
      <c r="F98" s="27">
        <f>-sum(16.75,51)</f>
        <v>-67.75</v>
      </c>
      <c r="G98" s="27"/>
      <c r="H98" s="19"/>
      <c r="I98" s="27">
        <v>-4547.96</v>
      </c>
      <c r="J98" s="19"/>
      <c r="K98" s="27">
        <v>-95.0</v>
      </c>
      <c r="L98" s="30"/>
      <c r="M98" s="30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9.5" customHeight="1">
      <c r="A99" s="26">
        <v>44281.0</v>
      </c>
      <c r="B99" s="19"/>
      <c r="C99" s="27" t="str">
        <f>'2021_income'!B99</f>
        <v/>
      </c>
      <c r="D99" s="19"/>
      <c r="E99" s="19"/>
      <c r="F99" s="27">
        <f>-sum(8.6,13.5,51)</f>
        <v>-73.1</v>
      </c>
      <c r="G99" s="19"/>
      <c r="H99" s="19"/>
      <c r="I99" s="27"/>
      <c r="J99" s="19"/>
      <c r="K99" s="19"/>
      <c r="L99" s="30"/>
      <c r="M99" s="30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9.5" customHeight="1">
      <c r="A100" s="26">
        <v>44282.0</v>
      </c>
      <c r="B100" s="19"/>
      <c r="C100" s="27" t="str">
        <f>'2021_income'!B100</f>
        <v/>
      </c>
      <c r="D100" s="19"/>
      <c r="E100" s="19"/>
      <c r="F100" s="19">
        <f>-sum(24.5,6.6,28,5)</f>
        <v>-64.1</v>
      </c>
      <c r="G100" s="19"/>
      <c r="H100" s="19"/>
      <c r="I100" s="19"/>
      <c r="J100" s="19"/>
      <c r="K100" s="19"/>
      <c r="L100" s="30"/>
      <c r="M100" s="30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9.5" customHeight="1">
      <c r="A101" s="26">
        <v>44283.0</v>
      </c>
      <c r="B101" s="19"/>
      <c r="C101" s="27" t="str">
        <f>'2021_income'!B101</f>
        <v/>
      </c>
      <c r="D101" s="19"/>
      <c r="E101" s="19"/>
      <c r="F101" s="27">
        <v>-3.95</v>
      </c>
      <c r="G101" s="27"/>
      <c r="H101" s="19"/>
      <c r="I101" s="19"/>
      <c r="J101" s="19"/>
      <c r="K101" s="27">
        <v>-30.0</v>
      </c>
      <c r="L101" s="30"/>
      <c r="M101" s="30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9.5" customHeight="1">
      <c r="A102" s="26">
        <v>44284.0</v>
      </c>
      <c r="B102" s="19"/>
      <c r="C102" s="27" t="str">
        <f>'2021_income'!B102</f>
        <v/>
      </c>
      <c r="D102" s="19"/>
      <c r="E102" s="19"/>
      <c r="F102" s="27">
        <f>-sum(57.13,5,17.99,22.53)</f>
        <v>-102.65</v>
      </c>
      <c r="G102" s="27">
        <v>-600.0</v>
      </c>
      <c r="H102" s="19"/>
      <c r="I102" s="19"/>
      <c r="J102" s="19"/>
      <c r="K102" s="19"/>
      <c r="L102" s="30"/>
      <c r="M102" s="30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9.5" customHeight="1">
      <c r="A103" s="26">
        <v>44285.0</v>
      </c>
      <c r="B103" s="19"/>
      <c r="C103" s="27" t="str">
        <f>'2021_income'!B103</f>
        <v/>
      </c>
      <c r="D103" s="19"/>
      <c r="E103" s="19"/>
      <c r="F103" s="19">
        <f>-sum(50,19.32)</f>
        <v>-69.32</v>
      </c>
      <c r="G103" s="19"/>
      <c r="H103" s="19"/>
      <c r="I103" s="19"/>
      <c r="J103" s="19"/>
      <c r="K103" s="19"/>
      <c r="L103" s="30"/>
      <c r="M103" s="30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9.5" customHeight="1">
      <c r="A104" s="26">
        <v>44286.0</v>
      </c>
      <c r="B104" s="19"/>
      <c r="C104" s="27" t="str">
        <f>'2021_income'!B104</f>
        <v/>
      </c>
      <c r="D104" s="19"/>
      <c r="E104" s="27">
        <v>-31.71</v>
      </c>
      <c r="F104" s="27">
        <f>-sum(4.9,8.55,22.05)</f>
        <v>-35.5</v>
      </c>
      <c r="G104" s="27"/>
      <c r="H104" s="19"/>
      <c r="I104" s="19"/>
      <c r="J104" s="19"/>
      <c r="K104" s="19"/>
      <c r="L104" s="30"/>
      <c r="M104" s="30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9.5" customHeight="1">
      <c r="A105" s="26">
        <v>44287.0</v>
      </c>
      <c r="B105" s="19"/>
      <c r="C105" s="27" t="str">
        <f>'2021_income'!B105</f>
        <v/>
      </c>
      <c r="D105" s="19"/>
      <c r="E105" s="27"/>
      <c r="F105" s="27">
        <f>-sum(15.9,23.97,10,2.15,55.99)</f>
        <v>-108.01</v>
      </c>
      <c r="G105" s="27"/>
      <c r="H105" s="19"/>
      <c r="I105" s="19"/>
      <c r="J105" s="19"/>
      <c r="K105" s="19"/>
      <c r="L105" s="30"/>
      <c r="M105" s="30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9.5" customHeight="1">
      <c r="A106" s="26">
        <v>44288.0</v>
      </c>
      <c r="B106" s="19"/>
      <c r="C106" s="27" t="str">
        <f>'2021_income'!B106</f>
        <v/>
      </c>
      <c r="D106" s="19"/>
      <c r="E106" s="19"/>
      <c r="F106" s="19">
        <f>-sum(35.35,2.42,7)</f>
        <v>-44.77</v>
      </c>
      <c r="G106" s="19"/>
      <c r="H106" s="19"/>
      <c r="I106" s="19"/>
      <c r="J106" s="19"/>
      <c r="K106" s="19"/>
      <c r="L106" s="30"/>
      <c r="M106" s="30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9.5" customHeight="1">
      <c r="A107" s="26">
        <v>44289.0</v>
      </c>
      <c r="B107" s="19"/>
      <c r="C107" s="27" t="str">
        <f>'2021_income'!B107</f>
        <v/>
      </c>
      <c r="D107" s="19"/>
      <c r="E107" s="27"/>
      <c r="F107" s="27"/>
      <c r="G107" s="27"/>
      <c r="H107" s="19"/>
      <c r="I107" s="19"/>
      <c r="J107" s="19"/>
      <c r="K107" s="19"/>
      <c r="L107" s="30"/>
      <c r="M107" s="3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9.5" customHeight="1">
      <c r="A108" s="26">
        <v>44290.0</v>
      </c>
      <c r="B108" s="19"/>
      <c r="C108" s="27" t="str">
        <f>'2021_income'!B108</f>
        <v/>
      </c>
      <c r="D108" s="19"/>
      <c r="E108" s="19"/>
      <c r="F108" s="27">
        <f>-sum(23.33,2.5,30.8)</f>
        <v>-56.63</v>
      </c>
      <c r="G108" s="27"/>
      <c r="H108" s="19"/>
      <c r="I108" s="19"/>
      <c r="J108" s="19"/>
      <c r="K108" s="19"/>
      <c r="L108" s="30"/>
      <c r="M108" s="30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9.5" customHeight="1">
      <c r="A109" s="26">
        <v>44291.0</v>
      </c>
      <c r="B109" s="19"/>
      <c r="C109" s="27" t="str">
        <f>'2021_income'!B109</f>
        <v/>
      </c>
      <c r="D109" s="19"/>
      <c r="E109" s="19"/>
      <c r="F109" s="27">
        <f>-sum(5,24)</f>
        <v>-29</v>
      </c>
      <c r="G109" s="27">
        <v>-70.0</v>
      </c>
      <c r="H109" s="19"/>
      <c r="I109" s="19"/>
      <c r="J109" s="19"/>
      <c r="K109" s="19"/>
      <c r="L109" s="30"/>
      <c r="M109" s="30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9.5" customHeight="1">
      <c r="A110" s="26">
        <v>44292.0</v>
      </c>
      <c r="B110" s="19"/>
      <c r="C110" s="27" t="str">
        <f>'2021_income'!B110</f>
        <v/>
      </c>
      <c r="D110" s="19"/>
      <c r="E110" s="19"/>
      <c r="F110" s="27">
        <v>-13.13</v>
      </c>
      <c r="G110" s="27"/>
      <c r="H110" s="19"/>
      <c r="I110" s="19"/>
      <c r="J110" s="19"/>
      <c r="K110" s="19"/>
      <c r="L110" s="30"/>
      <c r="M110" s="30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9.5" customHeight="1">
      <c r="A111" s="26">
        <v>44293.0</v>
      </c>
      <c r="B111" s="19"/>
      <c r="C111" s="27" t="str">
        <f>'2021_income'!B111</f>
        <v/>
      </c>
      <c r="D111" s="19"/>
      <c r="E111" s="27">
        <v>-68.2</v>
      </c>
      <c r="F111" s="19">
        <f>-sum(12.69,4.5)</f>
        <v>-17.19</v>
      </c>
      <c r="G111" s="19"/>
      <c r="H111" s="19"/>
      <c r="I111" s="19"/>
      <c r="J111" s="19"/>
      <c r="K111" s="19"/>
      <c r="L111" s="30"/>
      <c r="M111" s="30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9.5" customHeight="1">
      <c r="A112" s="26">
        <v>44294.0</v>
      </c>
      <c r="B112" s="19"/>
      <c r="C112" s="27" t="str">
        <f>'2021_income'!B112</f>
        <v/>
      </c>
      <c r="D112" s="19"/>
      <c r="E112" s="19"/>
      <c r="F112" s="19">
        <f>-sum(4.81,51.79)</f>
        <v>-56.6</v>
      </c>
      <c r="G112" s="19"/>
      <c r="H112" s="19"/>
      <c r="I112" s="19"/>
      <c r="J112" s="19"/>
      <c r="K112" s="19"/>
      <c r="L112" s="30"/>
      <c r="M112" s="30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9.5" customHeight="1">
      <c r="A113" s="26">
        <v>44295.0</v>
      </c>
      <c r="B113" s="19"/>
      <c r="C113" s="27" t="str">
        <f>'2021_income'!B113</f>
        <v/>
      </c>
      <c r="D113" s="19"/>
      <c r="E113" s="27"/>
      <c r="F113" s="27">
        <f>-sum(400,5.6,7)</f>
        <v>-412.6</v>
      </c>
      <c r="G113" s="27"/>
      <c r="H113" s="19"/>
      <c r="I113" s="19"/>
      <c r="J113" s="19"/>
      <c r="K113" s="19"/>
      <c r="L113" s="30"/>
      <c r="M113" s="30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9.5" customHeight="1">
      <c r="A114" s="26">
        <v>44296.0</v>
      </c>
      <c r="B114" s="19"/>
      <c r="C114" s="27" t="str">
        <f>'2021_income'!B114</f>
        <v/>
      </c>
      <c r="D114" s="19"/>
      <c r="E114" s="19"/>
      <c r="F114" s="27">
        <f>-sum(5.6,15.63,12.15,25.11,34.48)</f>
        <v>-92.97</v>
      </c>
      <c r="G114" s="27"/>
      <c r="H114" s="19"/>
      <c r="I114" s="19"/>
      <c r="J114" s="19"/>
      <c r="K114" s="19"/>
      <c r="L114" s="30"/>
      <c r="M114" s="3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9.5" customHeight="1">
      <c r="A115" s="26">
        <v>44297.0</v>
      </c>
      <c r="B115" s="19"/>
      <c r="C115" s="27" t="str">
        <f>'2021_income'!B115</f>
        <v/>
      </c>
      <c r="D115" s="19"/>
      <c r="E115" s="19"/>
      <c r="F115" s="27">
        <f>-sum(9.55,12.5,4.41)</f>
        <v>-26.46</v>
      </c>
      <c r="G115" s="27"/>
      <c r="H115" s="19"/>
      <c r="I115" s="19"/>
      <c r="J115" s="19"/>
      <c r="K115" s="19"/>
      <c r="L115" s="30"/>
      <c r="M115" s="30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9.5" customHeight="1">
      <c r="A116" s="26">
        <v>44298.0</v>
      </c>
      <c r="B116" s="19"/>
      <c r="C116" s="27" t="str">
        <f>'2021_income'!B116</f>
        <v/>
      </c>
      <c r="D116" s="19"/>
      <c r="E116" s="19"/>
      <c r="F116" s="27">
        <f>-sum(10.8,2.9,9.9,20.96)</f>
        <v>-44.56</v>
      </c>
      <c r="G116" s="27">
        <v>-600.0</v>
      </c>
      <c r="H116" s="19"/>
      <c r="I116" s="19"/>
      <c r="J116" s="19"/>
      <c r="K116" s="19"/>
      <c r="L116" s="30"/>
      <c r="M116" s="3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9.5" customHeight="1">
      <c r="A117" s="26">
        <v>44299.0</v>
      </c>
      <c r="B117" s="19"/>
      <c r="C117" s="27" t="str">
        <f>'2021_income'!B117</f>
        <v/>
      </c>
      <c r="D117" s="19"/>
      <c r="E117" s="27">
        <v>-5.91</v>
      </c>
      <c r="F117" s="27">
        <v>-45.72</v>
      </c>
      <c r="G117" s="27"/>
      <c r="H117" s="19"/>
      <c r="I117" s="19"/>
      <c r="J117" s="27">
        <v>-51.99</v>
      </c>
      <c r="K117" s="19"/>
      <c r="L117" s="30"/>
      <c r="M117" s="3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9.5" customHeight="1">
      <c r="A118" s="26">
        <v>44300.0</v>
      </c>
      <c r="B118" s="19"/>
      <c r="C118" s="27" t="str">
        <f>'2021_income'!B118</f>
        <v/>
      </c>
      <c r="D118" s="19"/>
      <c r="E118" s="27">
        <v>-20.0</v>
      </c>
      <c r="F118" s="27">
        <f>-sum(13.5,6.11,5.89,5.6,11.95,9.95,9.99)</f>
        <v>-62.99</v>
      </c>
      <c r="G118" s="27"/>
      <c r="H118" s="19"/>
      <c r="I118" s="19"/>
      <c r="J118" s="27">
        <v>-11.46</v>
      </c>
      <c r="K118" s="19"/>
      <c r="L118" s="30"/>
      <c r="M118" s="3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9.5" customHeight="1">
      <c r="A119" s="26">
        <v>44301.0</v>
      </c>
      <c r="B119" s="19"/>
      <c r="C119" s="27" t="str">
        <f>'2021_income'!B119</f>
        <v/>
      </c>
      <c r="D119" s="19"/>
      <c r="E119" s="27"/>
      <c r="F119" s="27"/>
      <c r="G119" s="27"/>
      <c r="H119" s="19"/>
      <c r="I119" s="19"/>
      <c r="J119" s="27"/>
      <c r="K119" s="19"/>
      <c r="L119" s="30"/>
      <c r="M119" s="3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9.5" customHeight="1">
      <c r="A120" s="26">
        <v>44302.0</v>
      </c>
      <c r="B120" s="19"/>
      <c r="C120" s="27" t="str">
        <f>'2021_income'!B120</f>
        <v/>
      </c>
      <c r="D120" s="19"/>
      <c r="E120" s="27">
        <v>-33.0</v>
      </c>
      <c r="F120" s="27">
        <f>-sum(12.5,3.5,10)</f>
        <v>-26</v>
      </c>
      <c r="G120" s="27"/>
      <c r="H120" s="19"/>
      <c r="I120" s="19"/>
      <c r="J120" s="19"/>
      <c r="K120" s="19"/>
      <c r="L120" s="30"/>
      <c r="M120" s="3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9.5" customHeight="1">
      <c r="A121" s="26">
        <v>44303.0</v>
      </c>
      <c r="B121" s="19"/>
      <c r="C121" s="27" t="str">
        <f>'2021_income'!B121</f>
        <v/>
      </c>
      <c r="D121" s="19"/>
      <c r="E121" s="27">
        <v>-52.28</v>
      </c>
      <c r="F121" s="27">
        <f>-sum(11)</f>
        <v>-11</v>
      </c>
      <c r="G121" s="27"/>
      <c r="H121" s="19"/>
      <c r="I121" s="19"/>
      <c r="J121" s="19"/>
      <c r="K121" s="19"/>
      <c r="L121" s="30"/>
      <c r="M121" s="3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9.5" customHeight="1">
      <c r="A122" s="26">
        <v>44304.0</v>
      </c>
      <c r="B122" s="19"/>
      <c r="C122" s="27" t="str">
        <f>'2021_income'!B122</f>
        <v/>
      </c>
      <c r="D122" s="19"/>
      <c r="E122" s="27"/>
      <c r="F122" s="27">
        <f>-sum(15.75,51.71,2.2,1.2,10.48)</f>
        <v>-81.34</v>
      </c>
      <c r="G122" s="27"/>
      <c r="H122" s="19"/>
      <c r="I122" s="19"/>
      <c r="J122" s="19"/>
      <c r="K122" s="19"/>
      <c r="L122" s="30"/>
      <c r="M122" s="3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9.5" customHeight="1">
      <c r="A123" s="26">
        <v>44305.0</v>
      </c>
      <c r="B123" s="19"/>
      <c r="C123" s="27" t="str">
        <f>'2021_income'!B123</f>
        <v/>
      </c>
      <c r="D123" s="19"/>
      <c r="E123" s="19"/>
      <c r="F123" s="27"/>
      <c r="G123" s="27"/>
      <c r="H123" s="19"/>
      <c r="I123" s="19"/>
      <c r="J123" s="27"/>
      <c r="K123" s="27">
        <v>-40.0</v>
      </c>
      <c r="L123" s="30"/>
      <c r="M123" s="3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9.5" customHeight="1">
      <c r="A124" s="26">
        <v>44306.0</v>
      </c>
      <c r="B124" s="19"/>
      <c r="C124" s="27" t="str">
        <f>'2021_income'!B124</f>
        <v/>
      </c>
      <c r="D124" s="19"/>
      <c r="E124" s="27">
        <v>-0.63</v>
      </c>
      <c r="F124" s="27">
        <f>-sum(2,8.76)</f>
        <v>-10.76</v>
      </c>
      <c r="G124" s="27">
        <v>-33.5</v>
      </c>
      <c r="H124" s="19"/>
      <c r="I124" s="19"/>
      <c r="J124" s="19"/>
      <c r="K124" s="19"/>
      <c r="L124" s="30"/>
      <c r="M124" s="3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9.5" customHeight="1">
      <c r="A125" s="26">
        <v>44307.0</v>
      </c>
      <c r="B125" s="19"/>
      <c r="C125" s="27" t="str">
        <f>'2021_income'!B125</f>
        <v/>
      </c>
      <c r="D125" s="19"/>
      <c r="E125" s="19"/>
      <c r="F125" s="27">
        <f>-sum(12.5,8.65)</f>
        <v>-21.15</v>
      </c>
      <c r="G125" s="27"/>
      <c r="H125" s="19"/>
      <c r="I125" s="19"/>
      <c r="J125" s="19"/>
      <c r="K125" s="19"/>
      <c r="L125" s="30"/>
      <c r="M125" s="3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9.5" customHeight="1">
      <c r="A126" s="26">
        <v>44308.0</v>
      </c>
      <c r="B126" s="19"/>
      <c r="C126" s="27" t="str">
        <f>'2021_income'!B126</f>
        <v/>
      </c>
      <c r="D126" s="19"/>
      <c r="E126" s="19"/>
      <c r="F126" s="27">
        <f>-sum(14.99,9.99,223)</f>
        <v>-247.98</v>
      </c>
      <c r="G126" s="27"/>
      <c r="H126" s="19"/>
      <c r="I126" s="19"/>
      <c r="J126" s="19"/>
      <c r="K126" s="19"/>
      <c r="L126" s="30"/>
      <c r="M126" s="3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9.5" customHeight="1">
      <c r="A127" s="26">
        <v>44309.0</v>
      </c>
      <c r="B127" s="19"/>
      <c r="C127" s="27" t="str">
        <f>'2021_income'!B127</f>
        <v/>
      </c>
      <c r="D127" s="19"/>
      <c r="E127" s="19"/>
      <c r="F127" s="27">
        <f>-sum(4.9,3,20.3)</f>
        <v>-28.2</v>
      </c>
      <c r="G127" s="27"/>
      <c r="H127" s="19"/>
      <c r="I127" s="19"/>
      <c r="J127" s="27"/>
      <c r="K127" s="27"/>
      <c r="L127" s="30"/>
      <c r="M127" s="3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9.5" customHeight="1">
      <c r="A128" s="26">
        <v>44310.0</v>
      </c>
      <c r="B128" s="19"/>
      <c r="C128" s="27" t="str">
        <f>'2021_income'!B128</f>
        <v/>
      </c>
      <c r="D128" s="19"/>
      <c r="E128" s="19"/>
      <c r="F128" s="27">
        <f>-sum(34,89)</f>
        <v>-123</v>
      </c>
      <c r="G128" s="27"/>
      <c r="H128" s="19"/>
      <c r="I128" s="19"/>
      <c r="J128" s="27"/>
      <c r="K128" s="27"/>
      <c r="L128" s="30"/>
      <c r="M128" s="3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9.5" customHeight="1">
      <c r="A129" s="26">
        <v>44311.0</v>
      </c>
      <c r="B129" s="19"/>
      <c r="C129" s="27" t="str">
        <f>'2021_income'!B129</f>
        <v/>
      </c>
      <c r="D129" s="19"/>
      <c r="E129" s="19"/>
      <c r="F129" s="27">
        <f>-sum(4.25,45.21)</f>
        <v>-49.46</v>
      </c>
      <c r="G129" s="27"/>
      <c r="H129" s="19"/>
      <c r="I129" s="19"/>
      <c r="J129" s="19"/>
      <c r="K129" s="27"/>
      <c r="L129" s="30"/>
      <c r="M129" s="3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9.5" customHeight="1">
      <c r="A130" s="26">
        <v>44312.0</v>
      </c>
      <c r="B130" s="19"/>
      <c r="C130" s="27" t="str">
        <f>'2021_income'!B130</f>
        <v/>
      </c>
      <c r="D130" s="19"/>
      <c r="E130" s="27">
        <v>-50.44</v>
      </c>
      <c r="F130" s="27">
        <f>-sum(11.6,16.6,16.65,1.4,15)</f>
        <v>-61.25</v>
      </c>
      <c r="G130" s="27">
        <v>-600.0</v>
      </c>
      <c r="H130" s="19"/>
      <c r="I130" s="19"/>
      <c r="J130" s="19"/>
      <c r="K130" s="27"/>
      <c r="L130" s="30"/>
      <c r="M130" s="3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9.5" customHeight="1">
      <c r="A131" s="26">
        <v>44313.0</v>
      </c>
      <c r="B131" s="19"/>
      <c r="C131" s="27" t="str">
        <f>'2021_income'!B131</f>
        <v/>
      </c>
      <c r="D131" s="19"/>
      <c r="E131" s="27">
        <v>-2.86</v>
      </c>
      <c r="F131" s="27">
        <f>-sum(4.9,5)</f>
        <v>-9.9</v>
      </c>
      <c r="G131" s="19"/>
      <c r="H131" s="19"/>
      <c r="I131" s="19"/>
      <c r="J131" s="27"/>
      <c r="K131" s="19">
        <f>-sum(60.9,21.49)</f>
        <v>-82.39</v>
      </c>
      <c r="L131" s="30"/>
      <c r="M131" s="3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9.5" customHeight="1">
      <c r="A132" s="26">
        <v>44314.0</v>
      </c>
      <c r="B132" s="19"/>
      <c r="C132" s="27" t="str">
        <f>'2021_income'!B132</f>
        <v/>
      </c>
      <c r="D132" s="19"/>
      <c r="E132" s="27">
        <v>-20.0</v>
      </c>
      <c r="F132" s="27">
        <f>-sum(3,11.45,6.5)</f>
        <v>-20.95</v>
      </c>
      <c r="G132" s="19"/>
      <c r="H132" s="19"/>
      <c r="I132" s="19"/>
      <c r="J132" s="19"/>
      <c r="K132" s="19"/>
      <c r="L132" s="30"/>
      <c r="M132" s="3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9.5" customHeight="1">
      <c r="A133" s="26">
        <v>44315.0</v>
      </c>
      <c r="B133" s="19"/>
      <c r="C133" s="27" t="str">
        <f>'2021_income'!B133</f>
        <v/>
      </c>
      <c r="D133" s="19"/>
      <c r="E133" s="19"/>
      <c r="F133" s="27">
        <v>-11.9</v>
      </c>
      <c r="G133" s="19"/>
      <c r="H133" s="19"/>
      <c r="I133" s="19"/>
      <c r="J133" s="19"/>
      <c r="K133" s="19"/>
      <c r="L133" s="30"/>
      <c r="M133" s="3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9.5" customHeight="1">
      <c r="A134" s="26">
        <v>44316.0</v>
      </c>
      <c r="B134" s="19"/>
      <c r="C134" s="27" t="str">
        <f>'2021_income'!B134</f>
        <v/>
      </c>
      <c r="D134" s="19"/>
      <c r="E134" s="19"/>
      <c r="F134" s="19">
        <f>-sum(12,9.29,1.4,5.9)</f>
        <v>-28.59</v>
      </c>
      <c r="G134" s="19"/>
      <c r="H134" s="19"/>
      <c r="I134" s="19"/>
      <c r="J134" s="19"/>
      <c r="K134" s="27"/>
      <c r="L134" s="30"/>
      <c r="M134" s="3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9.5" customHeight="1">
      <c r="A135" s="26">
        <v>44317.0</v>
      </c>
      <c r="B135" s="19"/>
      <c r="C135" s="27" t="str">
        <f>'2021_income'!B135</f>
        <v/>
      </c>
      <c r="D135" s="19"/>
      <c r="E135" s="27"/>
      <c r="F135" s="27">
        <f>-sum(5.04,13.66,3.5,28.27,15,2.9)</f>
        <v>-68.37</v>
      </c>
      <c r="G135" s="27">
        <v>-70.0</v>
      </c>
      <c r="H135" s="19"/>
      <c r="I135" s="19"/>
      <c r="J135" s="19"/>
      <c r="K135" s="27">
        <v>-48.2</v>
      </c>
      <c r="L135" s="30"/>
      <c r="M135" s="3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9.5" customHeight="1">
      <c r="A136" s="26">
        <v>44318.0</v>
      </c>
      <c r="B136" s="19"/>
      <c r="C136" s="27" t="str">
        <f>'2021_income'!B136</f>
        <v/>
      </c>
      <c r="D136" s="19"/>
      <c r="E136" s="19"/>
      <c r="F136" s="27">
        <f>-sum(2)</f>
        <v>-2</v>
      </c>
      <c r="G136" s="19"/>
      <c r="H136" s="19"/>
      <c r="I136" s="19"/>
      <c r="J136" s="19"/>
      <c r="K136" s="27">
        <v>-52.0</v>
      </c>
      <c r="L136" s="30"/>
      <c r="M136" s="3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9.5" customHeight="1">
      <c r="A137" s="26">
        <v>44319.0</v>
      </c>
      <c r="B137" s="19"/>
      <c r="C137" s="27" t="str">
        <f>'2021_income'!B137</f>
        <v/>
      </c>
      <c r="D137" s="19"/>
      <c r="E137" s="19"/>
      <c r="F137" s="27">
        <f>-sum(37,8,27.93)</f>
        <v>-72.93</v>
      </c>
      <c r="G137" s="27">
        <v>-33.5</v>
      </c>
      <c r="H137" s="19"/>
      <c r="I137" s="19"/>
      <c r="J137" s="27"/>
      <c r="K137" s="27"/>
      <c r="L137" s="30"/>
      <c r="M137" s="3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9.5" customHeight="1">
      <c r="A138" s="26">
        <v>44320.0</v>
      </c>
      <c r="B138" s="19"/>
      <c r="C138" s="27" t="str">
        <f>'2021_income'!B138</f>
        <v/>
      </c>
      <c r="D138" s="19"/>
      <c r="E138" s="27">
        <v>-41.44</v>
      </c>
      <c r="F138" s="27">
        <f>-sum(54.09,50.88)</f>
        <v>-104.97</v>
      </c>
      <c r="G138" s="19">
        <f>-sum(49.5,49.5,1.35)</f>
        <v>-100.35</v>
      </c>
      <c r="H138" s="19"/>
      <c r="I138" s="19"/>
      <c r="J138" s="19"/>
      <c r="K138" s="19"/>
      <c r="L138" s="30"/>
      <c r="M138" s="3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9.5" customHeight="1">
      <c r="A139" s="26">
        <v>44321.0</v>
      </c>
      <c r="B139" s="19"/>
      <c r="C139" s="27" t="str">
        <f>'2021_income'!B139</f>
        <v/>
      </c>
      <c r="D139" s="19"/>
      <c r="E139" s="19"/>
      <c r="F139" s="19">
        <f>-sum(12.8,12.55,19.85,2.54)</f>
        <v>-47.74</v>
      </c>
      <c r="G139" s="19"/>
      <c r="H139" s="19"/>
      <c r="I139" s="19"/>
      <c r="J139" s="19"/>
      <c r="K139" s="27"/>
      <c r="L139" s="30"/>
      <c r="M139" s="3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9.5" customHeight="1">
      <c r="A140" s="26">
        <v>44322.0</v>
      </c>
      <c r="B140" s="19"/>
      <c r="C140" s="27" t="str">
        <f>'2021_income'!B140</f>
        <v/>
      </c>
      <c r="D140" s="19"/>
      <c r="E140" s="19"/>
      <c r="F140" s="27">
        <f>-sum(58)</f>
        <v>-58</v>
      </c>
      <c r="G140" s="19"/>
      <c r="H140" s="19"/>
      <c r="I140" s="19"/>
      <c r="J140" s="19"/>
      <c r="K140" s="19"/>
      <c r="L140" s="30"/>
      <c r="M140" s="3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9.5" customHeight="1">
      <c r="A141" s="26">
        <v>44323.0</v>
      </c>
      <c r="B141" s="19"/>
      <c r="C141" s="27" t="str">
        <f>'2021_income'!B141</f>
        <v/>
      </c>
      <c r="D141" s="19"/>
      <c r="E141" s="19"/>
      <c r="F141" s="27">
        <f>-sum(12.8,43.86,10.5,2)</f>
        <v>-69.16</v>
      </c>
      <c r="G141" s="19"/>
      <c r="H141" s="19"/>
      <c r="I141" s="19"/>
      <c r="J141" s="19"/>
      <c r="K141" s="19"/>
      <c r="L141" s="30"/>
      <c r="M141" s="3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9.5" customHeight="1">
      <c r="A142" s="26">
        <v>44324.0</v>
      </c>
      <c r="B142" s="19"/>
      <c r="C142" s="27" t="str">
        <f>'2021_income'!B142</f>
        <v/>
      </c>
      <c r="D142" s="19"/>
      <c r="E142" s="19"/>
      <c r="F142" s="27">
        <f>-sum(8.9,4.75,14.65)</f>
        <v>-28.3</v>
      </c>
      <c r="G142" s="19"/>
      <c r="H142" s="19"/>
      <c r="I142" s="19"/>
      <c r="J142" s="19"/>
      <c r="K142" s="19"/>
      <c r="L142" s="30"/>
      <c r="M142" s="3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9.5" customHeight="1">
      <c r="A143" s="26">
        <v>44325.0</v>
      </c>
      <c r="B143" s="19"/>
      <c r="C143" s="27" t="str">
        <f>'2021_income'!B143</f>
        <v/>
      </c>
      <c r="D143" s="19"/>
      <c r="E143" s="27">
        <v>-37.08</v>
      </c>
      <c r="F143" s="27">
        <f>-sum(47.28,41)</f>
        <v>-88.28</v>
      </c>
      <c r="G143" s="19"/>
      <c r="H143" s="19"/>
      <c r="I143" s="19"/>
      <c r="J143" s="19"/>
      <c r="K143" s="27">
        <v>-40.0</v>
      </c>
      <c r="L143" s="30"/>
      <c r="M143" s="3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9.5" customHeight="1">
      <c r="A144" s="26">
        <v>44326.0</v>
      </c>
      <c r="B144" s="19"/>
      <c r="C144" s="27" t="str">
        <f>'2021_income'!B144</f>
        <v/>
      </c>
      <c r="D144" s="19"/>
      <c r="E144" s="27">
        <v>-2.63</v>
      </c>
      <c r="F144" s="27"/>
      <c r="G144" s="27">
        <v>-600.0</v>
      </c>
      <c r="H144" s="19"/>
      <c r="I144" s="19"/>
      <c r="J144" s="27">
        <v>-194.0</v>
      </c>
      <c r="K144" s="27"/>
      <c r="L144" s="30"/>
      <c r="M144" s="3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9.5" customHeight="1">
      <c r="A145" s="26">
        <v>44327.0</v>
      </c>
      <c r="B145" s="19"/>
      <c r="C145" s="27" t="str">
        <f>'2021_income'!B145</f>
        <v/>
      </c>
      <c r="D145" s="19"/>
      <c r="E145" s="19"/>
      <c r="F145" s="27">
        <f>-sum(25,9.8,10.85,149.8)</f>
        <v>-195.45</v>
      </c>
      <c r="G145" s="19"/>
      <c r="H145" s="19"/>
      <c r="I145" s="19"/>
      <c r="J145" s="19"/>
      <c r="K145" s="27"/>
      <c r="L145" s="30"/>
      <c r="M145" s="3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9.5" customHeight="1">
      <c r="A146" s="26">
        <v>44328.0</v>
      </c>
      <c r="B146" s="19"/>
      <c r="C146" s="27" t="str">
        <f>'2021_income'!B146</f>
        <v/>
      </c>
      <c r="D146" s="19"/>
      <c r="E146" s="19"/>
      <c r="F146" s="27">
        <f>-sum(9.61,9.16)</f>
        <v>-18.77</v>
      </c>
      <c r="G146" s="19"/>
      <c r="H146" s="19"/>
      <c r="I146" s="19"/>
      <c r="J146" s="19"/>
      <c r="K146" s="19"/>
      <c r="L146" s="30"/>
      <c r="M146" s="3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9.5" customHeight="1">
      <c r="A147" s="26">
        <v>44329.0</v>
      </c>
      <c r="B147" s="19"/>
      <c r="C147" s="27" t="str">
        <f>'2021_income'!B147</f>
        <v/>
      </c>
      <c r="D147" s="19"/>
      <c r="E147" s="27">
        <v>-35.6</v>
      </c>
      <c r="F147" s="27">
        <f>-sum(10.81,14.99,9.57)</f>
        <v>-35.37</v>
      </c>
      <c r="G147" s="27">
        <v>-317.01</v>
      </c>
      <c r="H147" s="19"/>
      <c r="I147" s="19"/>
      <c r="J147" s="19"/>
      <c r="K147" s="27"/>
      <c r="L147" s="30"/>
      <c r="M147" s="3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9.5" customHeight="1">
      <c r="A148" s="26">
        <v>44330.0</v>
      </c>
      <c r="B148" s="19"/>
      <c r="C148" s="27" t="str">
        <f>'2021_income'!B148</f>
        <v/>
      </c>
      <c r="D148" s="19"/>
      <c r="E148" s="27">
        <v>-3.6</v>
      </c>
      <c r="F148" s="27">
        <f>-sum(7.9,20.05,3.9)</f>
        <v>-31.85</v>
      </c>
      <c r="G148" s="19">
        <f>-sum(169.98,122.16)</f>
        <v>-292.14</v>
      </c>
      <c r="H148" s="19"/>
      <c r="I148" s="19"/>
      <c r="J148" s="19"/>
      <c r="K148" s="19"/>
      <c r="L148" s="30"/>
      <c r="M148" s="3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9.5" customHeight="1">
      <c r="A149" s="26">
        <v>44331.0</v>
      </c>
      <c r="B149" s="19"/>
      <c r="C149" s="27" t="str">
        <f>'2021_income'!B149</f>
        <v/>
      </c>
      <c r="D149" s="19"/>
      <c r="E149" s="27"/>
      <c r="F149" s="19">
        <f>-sum(9.41,0.55)</f>
        <v>-9.96</v>
      </c>
      <c r="G149" s="19"/>
      <c r="H149" s="19"/>
      <c r="I149" s="19"/>
      <c r="J149" s="19"/>
      <c r="K149" s="19"/>
      <c r="L149" s="30"/>
      <c r="M149" s="3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9.5" customHeight="1">
      <c r="A150" s="26">
        <v>44332.0</v>
      </c>
      <c r="B150" s="19"/>
      <c r="C150" s="27" t="str">
        <f>'2021_income'!B150</f>
        <v/>
      </c>
      <c r="D150" s="19"/>
      <c r="E150" s="19"/>
      <c r="F150" s="19">
        <f>-sum(10,11.65,14.4)</f>
        <v>-36.05</v>
      </c>
      <c r="G150" s="19"/>
      <c r="H150" s="19"/>
      <c r="I150" s="19"/>
      <c r="J150" s="19"/>
      <c r="K150" s="27">
        <v>-47.0</v>
      </c>
      <c r="L150" s="30"/>
      <c r="M150" s="3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9.5" customHeight="1">
      <c r="A151" s="26">
        <v>44333.0</v>
      </c>
      <c r="B151" s="19"/>
      <c r="C151" s="27" t="str">
        <f>'2021_income'!B151</f>
        <v/>
      </c>
      <c r="D151" s="19"/>
      <c r="E151" s="19"/>
      <c r="F151" s="27"/>
      <c r="G151" s="27">
        <v>-33.5</v>
      </c>
      <c r="H151" s="19"/>
      <c r="I151" s="19"/>
      <c r="J151" s="19"/>
      <c r="K151" s="19"/>
      <c r="L151" s="30"/>
      <c r="M151" s="3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9.5" customHeight="1">
      <c r="A152" s="26">
        <v>44334.0</v>
      </c>
      <c r="B152" s="19"/>
      <c r="C152" s="27" t="str">
        <f>'2021_income'!B152</f>
        <v/>
      </c>
      <c r="D152" s="19"/>
      <c r="E152" s="27">
        <v>-2.0</v>
      </c>
      <c r="F152" s="27">
        <v>-48.95</v>
      </c>
      <c r="G152" s="19"/>
      <c r="H152" s="19"/>
      <c r="I152" s="19"/>
      <c r="J152" s="27">
        <v>-74.78</v>
      </c>
      <c r="K152" s="27"/>
      <c r="L152" s="30"/>
      <c r="M152" s="3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9.5" customHeight="1">
      <c r="A153" s="26">
        <v>44335.0</v>
      </c>
      <c r="B153" s="19"/>
      <c r="C153" s="27" t="str">
        <f>'2021_income'!B153</f>
        <v/>
      </c>
      <c r="D153" s="19"/>
      <c r="E153" s="19"/>
      <c r="F153" s="27">
        <f>-sum(2.4,42.45,10.45)</f>
        <v>-55.3</v>
      </c>
      <c r="G153" s="19"/>
      <c r="H153" s="19"/>
      <c r="I153" s="19"/>
      <c r="J153" s="19"/>
      <c r="K153" s="19"/>
      <c r="L153" s="30"/>
      <c r="M153" s="3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9.5" customHeight="1">
      <c r="A154" s="26">
        <v>44336.0</v>
      </c>
      <c r="B154" s="19"/>
      <c r="C154" s="27" t="str">
        <f>'2021_income'!B154</f>
        <v/>
      </c>
      <c r="D154" s="19"/>
      <c r="E154" s="27"/>
      <c r="F154" s="19">
        <f>-sum(30.2,22.31,6.26)</f>
        <v>-58.77</v>
      </c>
      <c r="G154" s="19"/>
      <c r="H154" s="19">
        <f>-sum(10.87,180)</f>
        <v>-190.87</v>
      </c>
      <c r="I154" s="19"/>
      <c r="J154" s="19"/>
      <c r="K154" s="19"/>
      <c r="L154" s="30"/>
      <c r="M154" s="3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9.5" customHeight="1">
      <c r="A155" s="26">
        <v>44337.0</v>
      </c>
      <c r="B155" s="19"/>
      <c r="C155" s="27" t="str">
        <f>'2021_income'!B155</f>
        <v/>
      </c>
      <c r="D155" s="19"/>
      <c r="E155" s="19"/>
      <c r="F155" s="27">
        <f>-sum(5.5,5.8,6.15)</f>
        <v>-17.45</v>
      </c>
      <c r="G155" s="19"/>
      <c r="H155" s="19"/>
      <c r="I155" s="19"/>
      <c r="J155" s="19"/>
      <c r="K155" s="27">
        <v>-70.48</v>
      </c>
      <c r="L155" s="30"/>
      <c r="M155" s="3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9.5" customHeight="1">
      <c r="A156" s="26">
        <v>44338.0</v>
      </c>
      <c r="B156" s="19"/>
      <c r="C156" s="27" t="str">
        <f>'2021_income'!B156</f>
        <v/>
      </c>
      <c r="D156" s="19"/>
      <c r="E156" s="19"/>
      <c r="F156" s="27">
        <f>-sum(4.87,20.47)</f>
        <v>-25.34</v>
      </c>
      <c r="G156" s="19"/>
      <c r="H156" s="19"/>
      <c r="I156" s="19"/>
      <c r="J156" s="27"/>
      <c r="K156" s="19"/>
      <c r="L156" s="30"/>
      <c r="M156" s="3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9.5" customHeight="1">
      <c r="A157" s="26">
        <v>44339.0</v>
      </c>
      <c r="B157" s="19"/>
      <c r="C157" s="27" t="str">
        <f>'2021_income'!B157</f>
        <v/>
      </c>
      <c r="D157" s="19"/>
      <c r="E157" s="19"/>
      <c r="F157" s="19"/>
      <c r="G157" s="19"/>
      <c r="H157" s="19"/>
      <c r="I157" s="19"/>
      <c r="J157" s="19"/>
      <c r="K157" s="27"/>
      <c r="L157" s="30"/>
      <c r="M157" s="3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9.5" customHeight="1">
      <c r="A158" s="26">
        <v>44340.0</v>
      </c>
      <c r="B158" s="19"/>
      <c r="C158" s="27" t="str">
        <f>'2021_income'!B158</f>
        <v/>
      </c>
      <c r="D158" s="19"/>
      <c r="E158" s="27">
        <v>-56.1</v>
      </c>
      <c r="F158" s="27">
        <f>-sum(20.77,10.7)</f>
        <v>-31.47</v>
      </c>
      <c r="G158" s="27">
        <v>-600.0</v>
      </c>
      <c r="H158" s="27"/>
      <c r="I158" s="19"/>
      <c r="J158" s="27"/>
      <c r="K158" s="19"/>
      <c r="L158" s="30"/>
      <c r="M158" s="3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9.5" customHeight="1">
      <c r="A159" s="26">
        <v>44341.0</v>
      </c>
      <c r="B159" s="19"/>
      <c r="C159" s="27" t="str">
        <f>'2021_income'!B159</f>
        <v/>
      </c>
      <c r="D159" s="19"/>
      <c r="E159" s="27"/>
      <c r="F159" s="19">
        <f>-sum(15.2,2.4)</f>
        <v>-17.6</v>
      </c>
      <c r="G159" s="19"/>
      <c r="H159" s="19"/>
      <c r="I159" s="19"/>
      <c r="J159" s="19"/>
      <c r="K159" s="19"/>
      <c r="L159" s="30"/>
      <c r="M159" s="3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9.5" customHeight="1">
      <c r="A160" s="26">
        <v>44342.0</v>
      </c>
      <c r="B160" s="19"/>
      <c r="C160" s="27" t="str">
        <f>'2021_income'!B160</f>
        <v/>
      </c>
      <c r="D160" s="19"/>
      <c r="E160" s="27">
        <v>-4.47</v>
      </c>
      <c r="F160" s="27">
        <f>-sum(14.2,2.6,7,2,16,39.2)</f>
        <v>-81</v>
      </c>
      <c r="G160" s="19"/>
      <c r="H160" s="19"/>
      <c r="I160" s="19"/>
      <c r="J160" s="19"/>
      <c r="K160" s="19"/>
      <c r="L160" s="30"/>
      <c r="M160" s="3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9.5" customHeight="1">
      <c r="A161" s="26">
        <v>44343.0</v>
      </c>
      <c r="B161" s="19"/>
      <c r="C161" s="27" t="str">
        <f>'2021_income'!B161</f>
        <v/>
      </c>
      <c r="D161" s="19"/>
      <c r="E161" s="19"/>
      <c r="F161" s="19">
        <f>-sum(45.55,12.99)</f>
        <v>-58.54</v>
      </c>
      <c r="G161" s="19"/>
      <c r="H161" s="19"/>
      <c r="I161" s="19"/>
      <c r="J161" s="19"/>
      <c r="K161" s="19"/>
      <c r="L161" s="30"/>
      <c r="M161" s="3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9.5" customHeight="1">
      <c r="A162" s="26">
        <v>44344.0</v>
      </c>
      <c r="B162" s="19"/>
      <c r="C162" s="27" t="str">
        <f>'2021_income'!B162</f>
        <v/>
      </c>
      <c r="D162" s="19"/>
      <c r="E162" s="19"/>
      <c r="F162" s="19">
        <f>-sum(3,9.8,3.9,31.5)</f>
        <v>-48.2</v>
      </c>
      <c r="G162" s="19"/>
      <c r="H162" s="19"/>
      <c r="I162" s="19"/>
      <c r="J162" s="27">
        <v>-43.0</v>
      </c>
      <c r="K162" s="19"/>
      <c r="L162" s="30"/>
      <c r="M162" s="3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9.5" customHeight="1">
      <c r="A163" s="26">
        <v>44345.0</v>
      </c>
      <c r="B163" s="19"/>
      <c r="C163" s="27" t="str">
        <f>'2021_income'!B163</f>
        <v/>
      </c>
      <c r="D163" s="19"/>
      <c r="E163" s="19"/>
      <c r="F163" s="27">
        <f>-sum(12.5,7.95)</f>
        <v>-20.45</v>
      </c>
      <c r="G163" s="19"/>
      <c r="H163" s="19"/>
      <c r="I163" s="19"/>
      <c r="J163" s="27"/>
      <c r="K163" s="19"/>
      <c r="L163" s="30"/>
      <c r="M163" s="3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9.5" customHeight="1">
      <c r="A164" s="26">
        <v>44346.0</v>
      </c>
      <c r="B164" s="19"/>
      <c r="C164" s="27" t="str">
        <f>'2021_income'!B164</f>
        <v/>
      </c>
      <c r="D164" s="19"/>
      <c r="E164" s="27"/>
      <c r="F164" s="19"/>
      <c r="G164" s="19"/>
      <c r="H164" s="19"/>
      <c r="I164" s="19"/>
      <c r="J164" s="19"/>
      <c r="K164" s="19"/>
      <c r="L164" s="30"/>
      <c r="M164" s="3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9.5" customHeight="1">
      <c r="A165" s="26">
        <v>44347.0</v>
      </c>
      <c r="B165" s="19"/>
      <c r="C165" s="27" t="str">
        <f>'2021_income'!B165</f>
        <v/>
      </c>
      <c r="D165" s="19"/>
      <c r="E165" s="19"/>
      <c r="F165" s="27">
        <v>-18.9</v>
      </c>
      <c r="G165" s="27">
        <v>-33.5</v>
      </c>
      <c r="H165" s="19"/>
      <c r="I165" s="19"/>
      <c r="J165" s="27">
        <v>-45.85</v>
      </c>
      <c r="K165" s="19"/>
      <c r="L165" s="30"/>
      <c r="M165" s="3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9.5" customHeight="1">
      <c r="A166" s="26">
        <v>44348.0</v>
      </c>
      <c r="B166" s="19"/>
      <c r="C166" s="27" t="str">
        <f>'2021_income'!B166</f>
        <v/>
      </c>
      <c r="D166" s="19"/>
      <c r="E166" s="27">
        <v>-49.66</v>
      </c>
      <c r="F166" s="27">
        <f>-sum(28.03,11.8,19.5,29.14)</f>
        <v>-88.47</v>
      </c>
      <c r="G166" s="27">
        <v>-70.0</v>
      </c>
      <c r="H166" s="19"/>
      <c r="I166" s="19"/>
      <c r="J166" s="19"/>
      <c r="K166" s="19"/>
      <c r="L166" s="30"/>
      <c r="M166" s="3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9.5" customHeight="1">
      <c r="A167" s="26">
        <v>44349.0</v>
      </c>
      <c r="B167" s="19"/>
      <c r="C167" s="27" t="str">
        <f>'2021_income'!B167</f>
        <v/>
      </c>
      <c r="D167" s="19"/>
      <c r="E167" s="19"/>
      <c r="F167" s="27">
        <v>-9.99</v>
      </c>
      <c r="G167" s="19"/>
      <c r="H167" s="19"/>
      <c r="I167" s="19"/>
      <c r="J167" s="19"/>
      <c r="K167" s="19"/>
      <c r="L167" s="30"/>
      <c r="M167" s="3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9.5" customHeight="1">
      <c r="A168" s="26">
        <v>44350.0</v>
      </c>
      <c r="B168" s="19"/>
      <c r="C168" s="27" t="str">
        <f>'2021_income'!B168</f>
        <v/>
      </c>
      <c r="D168" s="19"/>
      <c r="E168" s="19"/>
      <c r="F168" s="27">
        <f>-sum(22.4,6.16,31.4)</f>
        <v>-59.96</v>
      </c>
      <c r="G168" s="27"/>
      <c r="H168" s="19"/>
      <c r="I168" s="19"/>
      <c r="J168" s="19"/>
      <c r="K168" s="19"/>
      <c r="L168" s="30"/>
      <c r="M168" s="3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9.5" customHeight="1">
      <c r="A169" s="26">
        <v>44351.0</v>
      </c>
      <c r="B169" s="19"/>
      <c r="C169" s="27" t="str">
        <f>'2021_income'!B169</f>
        <v/>
      </c>
      <c r="D169" s="19"/>
      <c r="E169" s="19"/>
      <c r="F169" s="27">
        <f>-sum(34.51,1.5)</f>
        <v>-36.01</v>
      </c>
      <c r="G169" s="19"/>
      <c r="H169" s="27"/>
      <c r="I169" s="19"/>
      <c r="J169" s="19"/>
      <c r="K169" s="27">
        <v>-35.16</v>
      </c>
      <c r="L169" s="30"/>
      <c r="M169" s="3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9.5" customHeight="1">
      <c r="A170" s="26">
        <v>44352.0</v>
      </c>
      <c r="B170" s="19"/>
      <c r="C170" s="27" t="str">
        <f>'2021_income'!B170</f>
        <v/>
      </c>
      <c r="D170" s="19"/>
      <c r="E170" s="19"/>
      <c r="F170" s="27">
        <f>-sum(20.76,4,28,28.24)</f>
        <v>-81</v>
      </c>
      <c r="G170" s="19"/>
      <c r="H170" s="19"/>
      <c r="I170" s="19"/>
      <c r="J170" s="19"/>
      <c r="K170" s="27"/>
      <c r="L170" s="30"/>
      <c r="M170" s="3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9.5" customHeight="1">
      <c r="A171" s="26">
        <v>44353.0</v>
      </c>
      <c r="B171" s="19"/>
      <c r="C171" s="27" t="str">
        <f>'2021_income'!B171</f>
        <v/>
      </c>
      <c r="D171" s="19"/>
      <c r="E171" s="27"/>
      <c r="F171" s="19"/>
      <c r="G171" s="19"/>
      <c r="H171" s="19"/>
      <c r="I171" s="19"/>
      <c r="J171" s="19"/>
      <c r="K171" s="19"/>
      <c r="L171" s="30"/>
      <c r="M171" s="3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9.5" customHeight="1">
      <c r="A172" s="26">
        <v>44354.0</v>
      </c>
      <c r="B172" s="19"/>
      <c r="C172" s="27" t="str">
        <f>'2021_income'!B172</f>
        <v/>
      </c>
      <c r="D172" s="19"/>
      <c r="E172" s="19"/>
      <c r="F172" s="27">
        <f>-sum(11.55)</f>
        <v>-11.55</v>
      </c>
      <c r="G172" s="27">
        <v>-600.0</v>
      </c>
      <c r="H172" s="19"/>
      <c r="I172" s="27"/>
      <c r="J172" s="19"/>
      <c r="K172" s="27"/>
      <c r="L172" s="30"/>
      <c r="M172" s="3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9.5" customHeight="1">
      <c r="A173" s="26">
        <v>44355.0</v>
      </c>
      <c r="B173" s="19"/>
      <c r="C173" s="27" t="str">
        <f>'2021_income'!B173</f>
        <v/>
      </c>
      <c r="D173" s="19"/>
      <c r="E173" s="19"/>
      <c r="F173" s="27">
        <f>-sum(3.9,30.48,24.21,5.15)</f>
        <v>-63.74</v>
      </c>
      <c r="G173" s="19"/>
      <c r="H173" s="19"/>
      <c r="I173" s="19"/>
      <c r="J173" s="19"/>
      <c r="K173" s="27">
        <v>-35.48</v>
      </c>
      <c r="L173" s="30"/>
      <c r="M173" s="3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9.5" customHeight="1">
      <c r="A174" s="26">
        <v>44356.0</v>
      </c>
      <c r="B174" s="19"/>
      <c r="C174" s="27" t="str">
        <f>'2021_income'!B174</f>
        <v/>
      </c>
      <c r="D174" s="19"/>
      <c r="E174" s="19"/>
      <c r="F174" s="27">
        <f>-sum(45.9)</f>
        <v>-45.9</v>
      </c>
      <c r="G174" s="19"/>
      <c r="H174" s="19"/>
      <c r="I174" s="27">
        <v>-900.0</v>
      </c>
      <c r="J174" s="19"/>
      <c r="K174" s="19"/>
      <c r="L174" s="30"/>
      <c r="M174" s="3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9.5" customHeight="1">
      <c r="A175" s="26">
        <v>44357.0</v>
      </c>
      <c r="B175" s="19"/>
      <c r="C175" s="27" t="str">
        <f>'2021_income'!B175</f>
        <v/>
      </c>
      <c r="D175" s="19"/>
      <c r="E175" s="27"/>
      <c r="F175" s="27"/>
      <c r="G175" s="19"/>
      <c r="H175" s="19"/>
      <c r="I175" s="19"/>
      <c r="J175" s="19"/>
      <c r="K175" s="27"/>
      <c r="L175" s="30"/>
      <c r="M175" s="3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9.5" customHeight="1">
      <c r="A176" s="26">
        <v>44358.0</v>
      </c>
      <c r="B176" s="19"/>
      <c r="C176" s="27" t="str">
        <f>'2021_income'!B176</f>
        <v/>
      </c>
      <c r="D176" s="19"/>
      <c r="E176" s="19"/>
      <c r="F176" s="27">
        <f>-sum(4,5.8)</f>
        <v>-9.8</v>
      </c>
      <c r="G176" s="19"/>
      <c r="H176" s="19"/>
      <c r="I176" s="27">
        <f>-sum(56.7,76.94)</f>
        <v>-133.64</v>
      </c>
      <c r="J176" s="19"/>
      <c r="K176" s="19"/>
      <c r="L176" s="30"/>
      <c r="M176" s="3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9.5" customHeight="1">
      <c r="A177" s="26">
        <v>44359.0</v>
      </c>
      <c r="B177" s="19"/>
      <c r="C177" s="27" t="str">
        <f>'2021_income'!B177</f>
        <v/>
      </c>
      <c r="D177" s="19"/>
      <c r="E177" s="27"/>
      <c r="F177" s="19">
        <f>-sum(42.77,7.73)</f>
        <v>-50.5</v>
      </c>
      <c r="G177" s="19"/>
      <c r="H177" s="19"/>
      <c r="I177" s="19"/>
      <c r="J177" s="19"/>
      <c r="K177" s="19"/>
      <c r="L177" s="30"/>
      <c r="M177" s="3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9.5" customHeight="1">
      <c r="A178" s="26">
        <v>44360.0</v>
      </c>
      <c r="B178" s="19"/>
      <c r="C178" s="27" t="str">
        <f>'2021_income'!B178</f>
        <v/>
      </c>
      <c r="D178" s="19"/>
      <c r="E178" s="19"/>
      <c r="F178" s="27">
        <f>-sum(30)</f>
        <v>-30</v>
      </c>
      <c r="G178" s="19"/>
      <c r="H178" s="19"/>
      <c r="I178" s="19"/>
      <c r="J178" s="19"/>
      <c r="K178" s="19"/>
      <c r="L178" s="30"/>
      <c r="M178" s="3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9.5" customHeight="1">
      <c r="A179" s="26">
        <v>44361.0</v>
      </c>
      <c r="B179" s="19"/>
      <c r="C179" s="27" t="str">
        <f>'2021_income'!B179</f>
        <v/>
      </c>
      <c r="D179" s="19"/>
      <c r="E179" s="19"/>
      <c r="F179" s="27">
        <f>-sum(34.02,7.4)</f>
        <v>-41.42</v>
      </c>
      <c r="G179" s="27">
        <v>-33.5</v>
      </c>
      <c r="H179" s="19"/>
      <c r="I179" s="19"/>
      <c r="J179" s="19"/>
      <c r="K179" s="19"/>
      <c r="L179" s="30"/>
      <c r="M179" s="3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9.5" customHeight="1">
      <c r="A180" s="26">
        <v>44362.0</v>
      </c>
      <c r="B180" s="19"/>
      <c r="C180" s="27" t="str">
        <f>'2021_income'!B180</f>
        <v/>
      </c>
      <c r="D180" s="19"/>
      <c r="E180" s="19"/>
      <c r="F180" s="19">
        <f>-sum(3.73)</f>
        <v>-3.73</v>
      </c>
      <c r="G180" s="19"/>
      <c r="H180" s="19"/>
      <c r="I180" s="19"/>
      <c r="J180" s="19"/>
      <c r="K180" s="19"/>
      <c r="L180" s="30"/>
      <c r="M180" s="3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9.5" customHeight="1">
      <c r="A181" s="26">
        <v>44363.0</v>
      </c>
      <c r="B181" s="19"/>
      <c r="C181" s="27" t="str">
        <f>'2021_income'!B181</f>
        <v/>
      </c>
      <c r="D181" s="19"/>
      <c r="E181" s="27">
        <v>-1.87</v>
      </c>
      <c r="F181" s="27">
        <f>-sum(4.9,2.5,472.5)</f>
        <v>-479.9</v>
      </c>
      <c r="G181" s="19"/>
      <c r="H181" s="19"/>
      <c r="I181" s="27">
        <v>-472.5</v>
      </c>
      <c r="J181" s="19"/>
      <c r="K181" s="19"/>
      <c r="L181" s="30"/>
      <c r="M181" s="3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9.5" customHeight="1">
      <c r="A182" s="26">
        <v>44364.0</v>
      </c>
      <c r="B182" s="19"/>
      <c r="C182" s="27" t="str">
        <f>'2021_income'!B182</f>
        <v/>
      </c>
      <c r="D182" s="19"/>
      <c r="E182" s="19"/>
      <c r="F182" s="27">
        <f>-sum(59.59,-22.29,13.64,15.52)</f>
        <v>-66.46</v>
      </c>
      <c r="G182" s="19"/>
      <c r="H182" s="19"/>
      <c r="I182" s="19"/>
      <c r="J182" s="19"/>
      <c r="K182" s="19"/>
      <c r="L182" s="30"/>
      <c r="M182" s="3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9.5" customHeight="1">
      <c r="A183" s="26">
        <v>44365.0</v>
      </c>
      <c r="B183" s="19"/>
      <c r="C183" s="27" t="str">
        <f>'2021_income'!B183</f>
        <v/>
      </c>
      <c r="D183" s="19"/>
      <c r="E183" s="27">
        <v>-37.85</v>
      </c>
      <c r="F183" s="27">
        <f>-sum(24,20.81,8.04)</f>
        <v>-52.85</v>
      </c>
      <c r="G183" s="19"/>
      <c r="H183" s="19"/>
      <c r="I183" s="19"/>
      <c r="J183" s="19"/>
      <c r="K183" s="27">
        <f>-sum(60.9,41.96)</f>
        <v>-102.86</v>
      </c>
      <c r="L183" s="30"/>
      <c r="M183" s="3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9.5" customHeight="1">
      <c r="A184" s="26">
        <v>44366.0</v>
      </c>
      <c r="B184" s="19"/>
      <c r="C184" s="27" t="str">
        <f>'2021_income'!B184</f>
        <v/>
      </c>
      <c r="D184" s="19"/>
      <c r="E184" s="27">
        <v>-10.0</v>
      </c>
      <c r="F184" s="27">
        <f>-sum(14.2,8.25,30)</f>
        <v>-52.45</v>
      </c>
      <c r="G184" s="19"/>
      <c r="H184" s="19"/>
      <c r="I184" s="19"/>
      <c r="J184" s="19"/>
      <c r="K184" s="19"/>
      <c r="L184" s="30"/>
      <c r="M184" s="3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9.5" customHeight="1">
      <c r="A185" s="26">
        <v>44367.0</v>
      </c>
      <c r="B185" s="19"/>
      <c r="C185" s="27" t="str">
        <f>'2021_income'!B185</f>
        <v/>
      </c>
      <c r="D185" s="19"/>
      <c r="E185" s="27"/>
      <c r="F185" s="19">
        <f>-sum(13.2,6.39,2.5,11.75)</f>
        <v>-33.84</v>
      </c>
      <c r="G185" s="19"/>
      <c r="H185" s="19"/>
      <c r="I185" s="19"/>
      <c r="J185" s="19"/>
      <c r="K185" s="19"/>
      <c r="L185" s="30"/>
      <c r="M185" s="3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9.5" customHeight="1">
      <c r="A186" s="26">
        <v>44368.0</v>
      </c>
      <c r="B186" s="19"/>
      <c r="C186" s="27" t="str">
        <f>'2021_income'!B186</f>
        <v/>
      </c>
      <c r="D186" s="19"/>
      <c r="E186" s="19"/>
      <c r="F186" s="27">
        <f>-sum(9.98,9)</f>
        <v>-18.98</v>
      </c>
      <c r="G186" s="27">
        <v>-600.0</v>
      </c>
      <c r="H186" s="19"/>
      <c r="I186" s="19"/>
      <c r="J186" s="19"/>
      <c r="K186" s="19"/>
      <c r="L186" s="30"/>
      <c r="M186" s="3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9.5" customHeight="1">
      <c r="A187" s="26">
        <v>44369.0</v>
      </c>
      <c r="B187" s="19"/>
      <c r="C187" s="27" t="str">
        <f>'2021_income'!B187</f>
        <v/>
      </c>
      <c r="D187" s="19"/>
      <c r="E187" s="19"/>
      <c r="F187" s="27">
        <f>-sum(18.27,24.8,9)</f>
        <v>-52.07</v>
      </c>
      <c r="G187" s="27">
        <v>-10.2</v>
      </c>
      <c r="H187" s="19"/>
      <c r="I187" s="19"/>
      <c r="J187" s="19"/>
      <c r="K187" s="19"/>
      <c r="L187" s="30"/>
      <c r="M187" s="3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9.5" customHeight="1">
      <c r="A188" s="26">
        <v>44370.0</v>
      </c>
      <c r="B188" s="19"/>
      <c r="C188" s="27" t="str">
        <f>'2021_income'!B188</f>
        <v/>
      </c>
      <c r="D188" s="19"/>
      <c r="E188" s="19"/>
      <c r="F188" s="19">
        <f>-sum(64.48,13.55,6.35)</f>
        <v>-84.38</v>
      </c>
      <c r="G188" s="19"/>
      <c r="H188" s="19"/>
      <c r="I188" s="19"/>
      <c r="J188" s="27"/>
      <c r="K188" s="19"/>
      <c r="L188" s="30"/>
      <c r="M188" s="3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9.5" customHeight="1">
      <c r="A189" s="26">
        <v>44371.0</v>
      </c>
      <c r="B189" s="19"/>
      <c r="C189" s="27" t="str">
        <f>'2021_income'!B189</f>
        <v/>
      </c>
      <c r="D189" s="19"/>
      <c r="E189" s="27"/>
      <c r="F189" s="19">
        <f>-sum(27.65,24.77)</f>
        <v>-52.42</v>
      </c>
      <c r="G189" s="19"/>
      <c r="H189" s="19"/>
      <c r="I189" s="19"/>
      <c r="J189" s="27"/>
      <c r="K189" s="19"/>
      <c r="L189" s="30"/>
      <c r="M189" s="3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9.5" customHeight="1">
      <c r="A190" s="26">
        <v>44372.0</v>
      </c>
      <c r="B190" s="19"/>
      <c r="C190" s="27" t="str">
        <f>'2021_income'!B190</f>
        <v/>
      </c>
      <c r="D190" s="19"/>
      <c r="E190" s="27"/>
      <c r="F190" s="27"/>
      <c r="G190" s="27"/>
      <c r="H190" s="19"/>
      <c r="I190" s="19"/>
      <c r="J190" s="19"/>
      <c r="K190" s="19"/>
      <c r="L190" s="30"/>
      <c r="M190" s="3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9.5" customHeight="1">
      <c r="A191" s="26">
        <v>44373.0</v>
      </c>
      <c r="B191" s="19"/>
      <c r="C191" s="27" t="str">
        <f>'2021_income'!B191</f>
        <v/>
      </c>
      <c r="D191" s="19"/>
      <c r="E191" s="19"/>
      <c r="F191" s="27">
        <f>-sum(22.99,15.25,4.15)</f>
        <v>-42.39</v>
      </c>
      <c r="G191" s="19"/>
      <c r="H191" s="19"/>
      <c r="I191" s="19"/>
      <c r="J191" s="19"/>
      <c r="K191" s="27">
        <v>-44.95</v>
      </c>
      <c r="L191" s="30"/>
      <c r="M191" s="3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9.5" customHeight="1">
      <c r="A192" s="26">
        <v>44374.0</v>
      </c>
      <c r="B192" s="19"/>
      <c r="C192" s="27" t="str">
        <f>'2021_income'!B192</f>
        <v/>
      </c>
      <c r="D192" s="19"/>
      <c r="E192" s="19"/>
      <c r="F192" s="27">
        <f>-sum(14.2,3.5,12.99,5.6)</f>
        <v>-36.29</v>
      </c>
      <c r="G192" s="19"/>
      <c r="H192" s="19"/>
      <c r="I192" s="19"/>
      <c r="J192" s="19"/>
      <c r="K192" s="19"/>
      <c r="L192" s="30"/>
      <c r="M192" s="3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9.5" customHeight="1">
      <c r="A193" s="26">
        <v>44375.0</v>
      </c>
      <c r="B193" s="19"/>
      <c r="C193" s="27" t="str">
        <f>'2021_income'!B193</f>
        <v/>
      </c>
      <c r="D193" s="19"/>
      <c r="E193" s="19"/>
      <c r="F193" s="27">
        <v>-25.67</v>
      </c>
      <c r="G193" s="27">
        <v>-33.5</v>
      </c>
      <c r="H193" s="19"/>
      <c r="I193" s="19"/>
      <c r="J193" s="19"/>
      <c r="K193" s="19"/>
      <c r="L193" s="30"/>
      <c r="M193" s="3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9.5" customHeight="1">
      <c r="A194" s="26">
        <v>44376.0</v>
      </c>
      <c r="B194" s="19"/>
      <c r="C194" s="27" t="str">
        <f>'2021_income'!B194</f>
        <v/>
      </c>
      <c r="D194" s="19"/>
      <c r="E194" s="19"/>
      <c r="F194" s="27">
        <f>-sum(2,3,7.18,10.05)</f>
        <v>-22.23</v>
      </c>
      <c r="G194" s="19"/>
      <c r="H194" s="19"/>
      <c r="I194" s="19"/>
      <c r="J194" s="19"/>
      <c r="K194" s="19"/>
      <c r="L194" s="30"/>
      <c r="M194" s="3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9.5" customHeight="1">
      <c r="A195" s="26">
        <v>44377.0</v>
      </c>
      <c r="B195" s="19"/>
      <c r="C195" s="27" t="str">
        <f>'2021_income'!B195</f>
        <v/>
      </c>
      <c r="D195" s="19"/>
      <c r="E195" s="19"/>
      <c r="F195" s="27">
        <v>-9.7</v>
      </c>
      <c r="G195" s="19"/>
      <c r="H195" s="19"/>
      <c r="I195" s="19"/>
      <c r="J195" s="27"/>
      <c r="K195" s="19"/>
      <c r="L195" s="30"/>
      <c r="M195" s="3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9.5" customHeight="1">
      <c r="A196" s="26">
        <v>44378.0</v>
      </c>
      <c r="B196" s="19"/>
      <c r="C196" s="27" t="str">
        <f>'2021_income'!B196</f>
        <v/>
      </c>
      <c r="D196" s="19"/>
      <c r="E196" s="19"/>
      <c r="F196" s="19">
        <f>-sum(22.96,6,14.17,8.28)</f>
        <v>-51.41</v>
      </c>
      <c r="G196" s="27">
        <v>-70.0</v>
      </c>
      <c r="H196" s="19"/>
      <c r="I196" s="19"/>
      <c r="J196" s="19"/>
      <c r="K196" s="19"/>
      <c r="L196" s="30"/>
      <c r="M196" s="3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26">
        <v>44379.0</v>
      </c>
      <c r="B197" s="19"/>
      <c r="C197" s="27" t="str">
        <f>'2021_income'!B197</f>
        <v/>
      </c>
      <c r="D197" s="19"/>
      <c r="E197" s="27"/>
      <c r="F197" s="27">
        <f>-sum(8.94,33.6,31)</f>
        <v>-73.54</v>
      </c>
      <c r="G197" s="27">
        <v>-77.2</v>
      </c>
      <c r="H197" s="19"/>
      <c r="I197" s="27">
        <v>-674.0</v>
      </c>
      <c r="J197" s="19"/>
      <c r="K197" s="19"/>
      <c r="L197" s="30"/>
      <c r="M197" s="3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26">
        <v>44380.0</v>
      </c>
      <c r="B198" s="19"/>
      <c r="C198" s="27" t="str">
        <f>'2021_income'!B198</f>
        <v/>
      </c>
      <c r="D198" s="19"/>
      <c r="E198" s="27">
        <v>-2.0</v>
      </c>
      <c r="F198" s="27">
        <f>-sum(2.65,10.9)</f>
        <v>-13.55</v>
      </c>
      <c r="G198" s="27">
        <v>-434.36</v>
      </c>
      <c r="H198" s="19"/>
      <c r="I198" s="27">
        <v>-719.0</v>
      </c>
      <c r="J198" s="19"/>
      <c r="K198" s="19"/>
      <c r="L198" s="30"/>
      <c r="M198" s="3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26">
        <v>44381.0</v>
      </c>
      <c r="B199" s="19"/>
      <c r="C199" s="27" t="str">
        <f>'2021_income'!B199</f>
        <v/>
      </c>
      <c r="D199" s="19"/>
      <c r="E199" s="27"/>
      <c r="F199" s="19">
        <f>-sum(2,3,5,9,6)</f>
        <v>-25</v>
      </c>
      <c r="G199" s="19"/>
      <c r="H199" s="19"/>
      <c r="I199" s="19"/>
      <c r="J199" s="19"/>
      <c r="K199" s="19"/>
      <c r="L199" s="30"/>
      <c r="M199" s="3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26">
        <v>44382.0</v>
      </c>
      <c r="B200" s="19"/>
      <c r="C200" s="27" t="str">
        <f>'2021_income'!B200</f>
        <v/>
      </c>
      <c r="D200" s="19"/>
      <c r="E200" s="19"/>
      <c r="F200" s="27">
        <f>-sum(7.99,13.3,12.8)</f>
        <v>-34.09</v>
      </c>
      <c r="G200" s="27">
        <v>-600.0</v>
      </c>
      <c r="H200" s="19"/>
      <c r="I200" s="19"/>
      <c r="J200" s="19"/>
      <c r="K200" s="19"/>
      <c r="L200" s="30"/>
      <c r="M200" s="3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8.0" customHeight="1">
      <c r="A201" s="26">
        <v>44383.0</v>
      </c>
      <c r="B201" s="19"/>
      <c r="C201" s="27" t="str">
        <f>'2021_income'!B201</f>
        <v/>
      </c>
      <c r="D201" s="19"/>
      <c r="E201" s="19"/>
      <c r="F201" s="27"/>
      <c r="G201" s="19"/>
      <c r="H201" s="19"/>
      <c r="I201" s="19"/>
      <c r="J201" s="27"/>
      <c r="K201" s="19"/>
      <c r="L201" s="30"/>
      <c r="M201" s="3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26">
        <v>44384.0</v>
      </c>
      <c r="B202" s="19"/>
      <c r="C202" s="27" t="str">
        <f>'2021_income'!B202</f>
        <v/>
      </c>
      <c r="D202" s="19"/>
      <c r="E202" s="19"/>
      <c r="F202" s="27">
        <f>-sum(10.91,16.62,25,61.35)</f>
        <v>-113.88</v>
      </c>
      <c r="G202" s="19"/>
      <c r="H202" s="19"/>
      <c r="I202" s="27">
        <v>-1333.0</v>
      </c>
      <c r="J202" s="19"/>
      <c r="K202" s="27"/>
      <c r="L202" s="30"/>
      <c r="M202" s="3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26">
        <v>44385.0</v>
      </c>
      <c r="B203" s="19"/>
      <c r="C203" s="27" t="str">
        <f>'2021_income'!B203</f>
        <v/>
      </c>
      <c r="D203" s="19"/>
      <c r="E203" s="19"/>
      <c r="F203" s="27">
        <f>-sum(13.59,9.8,11.2,49.99,5.8)</f>
        <v>-90.38</v>
      </c>
      <c r="G203" s="19"/>
      <c r="H203" s="19"/>
      <c r="I203" s="19"/>
      <c r="J203" s="19"/>
      <c r="K203" s="27"/>
      <c r="L203" s="30"/>
      <c r="M203" s="3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26">
        <v>44386.0</v>
      </c>
      <c r="B204" s="19"/>
      <c r="C204" s="27" t="str">
        <f>'2021_income'!B204</f>
        <v/>
      </c>
      <c r="D204" s="19"/>
      <c r="E204" s="27"/>
      <c r="F204" s="19">
        <f>-sum(12.95,4.7,4.5)</f>
        <v>-22.15</v>
      </c>
      <c r="G204" s="19"/>
      <c r="H204" s="19"/>
      <c r="I204" s="19"/>
      <c r="J204" s="19"/>
      <c r="K204" s="19"/>
      <c r="L204" s="30"/>
      <c r="M204" s="3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26">
        <v>44387.0</v>
      </c>
      <c r="B205" s="19"/>
      <c r="C205" s="27" t="str">
        <f>'2021_income'!B205</f>
        <v/>
      </c>
      <c r="D205" s="19"/>
      <c r="E205" s="27">
        <v>-4.05</v>
      </c>
      <c r="F205" s="27">
        <f>-sum(2.9,2,1,58.8,2.5)</f>
        <v>-67.2</v>
      </c>
      <c r="G205" s="27"/>
      <c r="H205" s="19"/>
      <c r="I205" s="19"/>
      <c r="J205" s="19"/>
      <c r="K205" s="19"/>
      <c r="L205" s="30"/>
      <c r="M205" s="3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26">
        <v>44388.0</v>
      </c>
      <c r="B206" s="19"/>
      <c r="C206" s="27" t="str">
        <f>'2021_income'!B206</f>
        <v/>
      </c>
      <c r="D206" s="19"/>
      <c r="E206" s="27">
        <v>-37.48</v>
      </c>
      <c r="F206" s="27">
        <f>-sum(27.8,8.5,6.29,25)</f>
        <v>-67.59</v>
      </c>
      <c r="G206" s="27"/>
      <c r="H206" s="19"/>
      <c r="I206" s="19"/>
      <c r="J206" s="27"/>
      <c r="K206" s="19"/>
      <c r="L206" s="30"/>
      <c r="M206" s="3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26">
        <v>44389.0</v>
      </c>
      <c r="B207" s="19"/>
      <c r="C207" s="27" t="str">
        <f>'2021_income'!B207</f>
        <v/>
      </c>
      <c r="D207" s="19"/>
      <c r="E207" s="19"/>
      <c r="F207" s="27">
        <f>-sum(7.5,7.85,2,18.48,9,34,40.9)</f>
        <v>-119.73</v>
      </c>
      <c r="G207" s="27">
        <v>-33.5</v>
      </c>
      <c r="H207" s="19"/>
      <c r="I207" s="27">
        <v>-169.95</v>
      </c>
      <c r="J207" s="27">
        <v>-38.7</v>
      </c>
      <c r="K207" s="19"/>
      <c r="L207" s="30"/>
      <c r="M207" s="3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26">
        <v>44390.0</v>
      </c>
      <c r="B208" s="19"/>
      <c r="C208" s="27" t="str">
        <f>'2021_income'!B208</f>
        <v/>
      </c>
      <c r="D208" s="19"/>
      <c r="E208" s="19"/>
      <c r="F208" s="19">
        <f>-sum(4.9,8.65,3.45,4,3)</f>
        <v>-24</v>
      </c>
      <c r="G208" s="27">
        <v>-79.9</v>
      </c>
      <c r="H208" s="19"/>
      <c r="I208" s="27">
        <v>-13.99</v>
      </c>
      <c r="J208" s="19"/>
      <c r="K208" s="19"/>
      <c r="L208" s="30"/>
      <c r="M208" s="3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26">
        <v>44391.0</v>
      </c>
      <c r="B209" s="19"/>
      <c r="C209" s="27" t="str">
        <f>'2021_income'!B209</f>
        <v/>
      </c>
      <c r="D209" s="19"/>
      <c r="E209" s="27"/>
      <c r="F209" s="19">
        <f>-sum(13.2,3,13.5,24,9.99,6.42,6.2)</f>
        <v>-76.31</v>
      </c>
      <c r="G209" s="27">
        <f>-sum(136,129)</f>
        <v>-265</v>
      </c>
      <c r="H209" s="19"/>
      <c r="I209" s="27">
        <v>-129.0</v>
      </c>
      <c r="J209" s="19"/>
      <c r="K209" s="19"/>
      <c r="L209" s="30"/>
      <c r="M209" s="3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26">
        <v>44392.0</v>
      </c>
      <c r="B210" s="19"/>
      <c r="C210" s="27" t="str">
        <f>'2021_income'!B210</f>
        <v/>
      </c>
      <c r="D210" s="19"/>
      <c r="E210" s="27">
        <v>-48.43</v>
      </c>
      <c r="F210" s="27">
        <f>-sum(17.99,18.3,15)</f>
        <v>-51.29</v>
      </c>
      <c r="G210" s="19"/>
      <c r="H210" s="19"/>
      <c r="I210" s="27">
        <f>-sum(233,296)</f>
        <v>-529</v>
      </c>
      <c r="J210" s="27"/>
      <c r="K210" s="19"/>
      <c r="L210" s="30"/>
      <c r="M210" s="3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26">
        <v>44393.0</v>
      </c>
      <c r="B211" s="19"/>
      <c r="C211" s="27" t="str">
        <f>'2021_income'!B211</f>
        <v/>
      </c>
      <c r="D211" s="19"/>
      <c r="E211" s="19"/>
      <c r="F211" s="19">
        <f>-sum(28.13,4,6.4)</f>
        <v>-38.53</v>
      </c>
      <c r="G211" s="27">
        <v>-77.2</v>
      </c>
      <c r="H211" s="19"/>
      <c r="I211" s="19"/>
      <c r="J211" s="19"/>
      <c r="K211" s="19"/>
      <c r="L211" s="30"/>
      <c r="M211" s="3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26">
        <v>44394.0</v>
      </c>
      <c r="B212" s="19"/>
      <c r="C212" s="27" t="str">
        <f>'2021_income'!B212</f>
        <v/>
      </c>
      <c r="D212" s="19"/>
      <c r="E212" s="19"/>
      <c r="F212" s="27">
        <f>-sum(5.59,21.85,11.88)</f>
        <v>-39.32</v>
      </c>
      <c r="G212" s="19"/>
      <c r="H212" s="19"/>
      <c r="I212" s="19"/>
      <c r="J212" s="19"/>
      <c r="K212" s="19"/>
      <c r="L212" s="30"/>
      <c r="M212" s="3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26">
        <v>44395.0</v>
      </c>
      <c r="B213" s="19"/>
      <c r="C213" s="27" t="str">
        <f>'2021_income'!B213</f>
        <v/>
      </c>
      <c r="D213" s="19"/>
      <c r="E213" s="19"/>
      <c r="F213" s="19">
        <f>-sum(4,5.8)</f>
        <v>-9.8</v>
      </c>
      <c r="G213" s="19"/>
      <c r="H213" s="19"/>
      <c r="I213" s="19"/>
      <c r="J213" s="19"/>
      <c r="K213" s="19"/>
      <c r="L213" s="30"/>
      <c r="M213" s="3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26">
        <v>44396.0</v>
      </c>
      <c r="B214" s="19"/>
      <c r="C214" s="27" t="str">
        <f>'2021_income'!B214</f>
        <v/>
      </c>
      <c r="D214" s="19"/>
      <c r="E214" s="27"/>
      <c r="F214" s="27">
        <v>-27.95</v>
      </c>
      <c r="G214" s="27">
        <v>-600.0</v>
      </c>
      <c r="H214" s="19"/>
      <c r="I214" s="27">
        <v>-506.0</v>
      </c>
      <c r="J214" s="19"/>
      <c r="K214" s="19"/>
      <c r="L214" s="30"/>
      <c r="M214" s="3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26">
        <v>44397.0</v>
      </c>
      <c r="B215" s="19"/>
      <c r="C215" s="27" t="str">
        <f>'2021_income'!B215</f>
        <v/>
      </c>
      <c r="D215" s="19"/>
      <c r="E215" s="19"/>
      <c r="F215" s="27">
        <v>-4.0</v>
      </c>
      <c r="G215" s="19"/>
      <c r="H215" s="19"/>
      <c r="I215" s="19"/>
      <c r="J215" s="19"/>
      <c r="K215" s="19"/>
      <c r="L215" s="30"/>
      <c r="M215" s="3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26">
        <v>44398.0</v>
      </c>
      <c r="B216" s="19"/>
      <c r="C216" s="27" t="str">
        <f>'2021_income'!B216</f>
        <v/>
      </c>
      <c r="D216" s="19"/>
      <c r="E216" s="19"/>
      <c r="F216" s="27">
        <f>-sum(24,37.16,31.98,33.8)</f>
        <v>-126.94</v>
      </c>
      <c r="G216" s="19"/>
      <c r="H216" s="19"/>
      <c r="I216" s="19"/>
      <c r="J216" s="19"/>
      <c r="K216" s="19"/>
      <c r="L216" s="30"/>
      <c r="M216" s="3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26">
        <v>44399.0</v>
      </c>
      <c r="B217" s="19"/>
      <c r="C217" s="27" t="str">
        <f>'2021_income'!B217</f>
        <v/>
      </c>
      <c r="D217" s="19"/>
      <c r="E217" s="19"/>
      <c r="F217" s="27">
        <f>-sum(2.25,5.36,2.8,7)</f>
        <v>-17.41</v>
      </c>
      <c r="G217" s="27">
        <v>-10.2</v>
      </c>
      <c r="H217" s="19"/>
      <c r="I217" s="19"/>
      <c r="J217" s="19"/>
      <c r="K217" s="19"/>
      <c r="L217" s="30"/>
      <c r="M217" s="3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26">
        <v>44400.0</v>
      </c>
      <c r="B218" s="19"/>
      <c r="C218" s="27" t="str">
        <f>'2021_income'!B218</f>
        <v/>
      </c>
      <c r="D218" s="19"/>
      <c r="E218" s="27">
        <v>-88.0</v>
      </c>
      <c r="F218" s="27"/>
      <c r="G218" s="19"/>
      <c r="H218" s="27"/>
      <c r="I218" s="19"/>
      <c r="J218" s="19"/>
      <c r="K218" s="19"/>
      <c r="L218" s="30"/>
      <c r="M218" s="3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26">
        <v>44401.0</v>
      </c>
      <c r="B219" s="19"/>
      <c r="C219" s="27" t="str">
        <f>'2021_income'!B219</f>
        <v/>
      </c>
      <c r="D219" s="19"/>
      <c r="E219" s="27"/>
      <c r="F219" s="27">
        <f>-sum(42.52,11.49,23.9)</f>
        <v>-77.91</v>
      </c>
      <c r="G219" s="27">
        <f>-sum(213.66,149.77)</f>
        <v>-363.43</v>
      </c>
      <c r="H219" s="19"/>
      <c r="I219" s="19"/>
      <c r="J219" s="19"/>
      <c r="K219" s="19"/>
      <c r="L219" s="30"/>
      <c r="M219" s="3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26">
        <v>44402.0</v>
      </c>
      <c r="B220" s="19"/>
      <c r="C220" s="27" t="str">
        <f>'2021_income'!B220</f>
        <v/>
      </c>
      <c r="D220" s="19"/>
      <c r="E220" s="27">
        <v>-47.11</v>
      </c>
      <c r="F220" s="27">
        <f>-sum(35.5,2)</f>
        <v>-37.5</v>
      </c>
      <c r="G220" s="19"/>
      <c r="H220" s="19"/>
      <c r="I220" s="27"/>
      <c r="J220" s="19"/>
      <c r="K220" s="19"/>
      <c r="L220" s="30"/>
      <c r="M220" s="3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26">
        <v>44403.0</v>
      </c>
      <c r="B221" s="19"/>
      <c r="C221" s="27" t="str">
        <f>'2021_income'!B221</f>
        <v/>
      </c>
      <c r="D221" s="19"/>
      <c r="E221" s="27"/>
      <c r="F221" s="27">
        <f>-sum(4)</f>
        <v>-4</v>
      </c>
      <c r="G221" s="27">
        <f>-sum(33.5,270)</f>
        <v>-303.5</v>
      </c>
      <c r="H221" s="19"/>
      <c r="I221" s="19"/>
      <c r="J221" s="19"/>
      <c r="K221" s="19"/>
      <c r="L221" s="30"/>
      <c r="M221" s="3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26">
        <v>44404.0</v>
      </c>
      <c r="B222" s="19"/>
      <c r="C222" s="27" t="str">
        <f>'2021_income'!B222</f>
        <v/>
      </c>
      <c r="D222" s="19"/>
      <c r="E222" s="19"/>
      <c r="F222" s="19">
        <f>-sum(21.14,46.35,25.2,2,2.99)</f>
        <v>-97.68</v>
      </c>
      <c r="G222" s="19"/>
      <c r="H222" s="19"/>
      <c r="I222" s="19"/>
      <c r="J222" s="19"/>
      <c r="K222" s="19"/>
      <c r="L222" s="30"/>
      <c r="M222" s="3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26">
        <v>44405.0</v>
      </c>
      <c r="B223" s="19"/>
      <c r="C223" s="27" t="str">
        <f>'2021_income'!B223</f>
        <v/>
      </c>
      <c r="D223" s="19"/>
      <c r="E223" s="19"/>
      <c r="F223" s="27">
        <f>-sum(30.97,3.95,82.33)</f>
        <v>-117.25</v>
      </c>
      <c r="G223" s="27">
        <v>-4.35</v>
      </c>
      <c r="H223" s="19"/>
      <c r="I223" s="19"/>
      <c r="J223" s="19"/>
      <c r="K223" s="19"/>
      <c r="L223" s="30"/>
      <c r="M223" s="3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26">
        <v>44406.0</v>
      </c>
      <c r="B224" s="19"/>
      <c r="C224" s="27" t="str">
        <f>'2021_income'!B224</f>
        <v/>
      </c>
      <c r="D224" s="19"/>
      <c r="E224" s="19"/>
      <c r="F224" s="27">
        <f>-sum(12.2,30.73,44.87)</f>
        <v>-87.8</v>
      </c>
      <c r="G224" s="27">
        <v>-74.5</v>
      </c>
      <c r="H224" s="19"/>
      <c r="I224" s="19"/>
      <c r="J224" s="19"/>
      <c r="K224" s="19"/>
      <c r="L224" s="30"/>
      <c r="M224" s="3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26">
        <v>44407.0</v>
      </c>
      <c r="B225" s="19"/>
      <c r="C225" s="27" t="str">
        <f>'2021_income'!B225</f>
        <v/>
      </c>
      <c r="D225" s="19"/>
      <c r="E225" s="19"/>
      <c r="F225" s="19">
        <f>-sum(15,8.24,100,63.9,8.24,10.8,4.5)</f>
        <v>-210.68</v>
      </c>
      <c r="G225" s="27">
        <v>-70.2</v>
      </c>
      <c r="H225" s="19"/>
      <c r="I225" s="19"/>
      <c r="J225" s="19"/>
      <c r="K225" s="19"/>
      <c r="L225" s="30"/>
      <c r="M225" s="3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26">
        <v>44408.0</v>
      </c>
      <c r="B226" s="19"/>
      <c r="C226" s="27" t="str">
        <f>'2021_income'!B226</f>
        <v/>
      </c>
      <c r="D226" s="19"/>
      <c r="E226" s="19"/>
      <c r="F226" s="19">
        <f>-sum(3.2,5.13,30.59,84.95,17.01,3.49,61.03)</f>
        <v>-205.4</v>
      </c>
      <c r="G226" s="27">
        <v>-99.0</v>
      </c>
      <c r="H226" s="19"/>
      <c r="I226" s="19"/>
      <c r="J226" s="19"/>
      <c r="K226" s="19"/>
      <c r="L226" s="30"/>
      <c r="M226" s="3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26">
        <v>44409.0</v>
      </c>
      <c r="B227" s="19"/>
      <c r="C227" s="27" t="str">
        <f>'2021_income'!B227</f>
        <v/>
      </c>
      <c r="D227" s="19"/>
      <c r="E227" s="19"/>
      <c r="F227" s="19">
        <f>-sum(4.5,14.49,11.2)</f>
        <v>-30.19</v>
      </c>
      <c r="G227" s="19"/>
      <c r="H227" s="19"/>
      <c r="I227" s="19"/>
      <c r="J227" s="19"/>
      <c r="K227" s="19"/>
      <c r="L227" s="30"/>
      <c r="M227" s="3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26">
        <v>44410.0</v>
      </c>
      <c r="B228" s="19"/>
      <c r="C228" s="27" t="str">
        <f>'2021_income'!B228</f>
        <v/>
      </c>
      <c r="D228" s="19"/>
      <c r="E228" s="27">
        <v>-5.0</v>
      </c>
      <c r="F228" s="27">
        <f>-sum(25.9,204.96,10.56,5.3,9.22,21.98)</f>
        <v>-277.92</v>
      </c>
      <c r="G228" s="27"/>
      <c r="H228" s="19"/>
      <c r="I228" s="19"/>
      <c r="J228" s="27"/>
      <c r="K228" s="19"/>
      <c r="L228" s="30"/>
      <c r="M228" s="3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26">
        <v>44411.0</v>
      </c>
      <c r="B229" s="19"/>
      <c r="C229" s="27" t="str">
        <f>'2021_income'!B229</f>
        <v/>
      </c>
      <c r="D229" s="19"/>
      <c r="E229" s="27"/>
      <c r="F229" s="27"/>
      <c r="G229" s="27">
        <v>-21.24</v>
      </c>
      <c r="H229" s="19"/>
      <c r="I229" s="19"/>
      <c r="J229" s="19"/>
      <c r="K229" s="19"/>
      <c r="L229" s="30"/>
      <c r="M229" s="3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26">
        <v>44412.0</v>
      </c>
      <c r="B230" s="19"/>
      <c r="C230" s="27" t="str">
        <f>'2021_income'!B230</f>
        <v/>
      </c>
      <c r="D230" s="19"/>
      <c r="E230" s="19"/>
      <c r="F230" s="19">
        <f>-sum(49.99,20,78.7,13.57,7.5)</f>
        <v>-169.76</v>
      </c>
      <c r="G230" s="27"/>
      <c r="H230" s="19"/>
      <c r="I230" s="19"/>
      <c r="J230" s="19"/>
      <c r="K230" s="19"/>
      <c r="L230" s="30"/>
      <c r="M230" s="3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26">
        <v>44413.0</v>
      </c>
      <c r="B231" s="19"/>
      <c r="C231" s="27" t="str">
        <f>'2021_income'!B231</f>
        <v/>
      </c>
      <c r="D231" s="19"/>
      <c r="E231" s="19"/>
      <c r="F231" s="27">
        <f>-sum(72.83,23,15,7.92)</f>
        <v>-118.75</v>
      </c>
      <c r="G231" s="19"/>
      <c r="H231" s="19"/>
      <c r="I231" s="19"/>
      <c r="J231" s="19"/>
      <c r="K231" s="27">
        <v>-41.0</v>
      </c>
      <c r="L231" s="30"/>
      <c r="M231" s="3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26">
        <v>44414.0</v>
      </c>
      <c r="B232" s="19"/>
      <c r="C232" s="27" t="str">
        <f>'2021_income'!B232</f>
        <v/>
      </c>
      <c r="D232" s="19"/>
      <c r="E232" s="19"/>
      <c r="F232" s="19"/>
      <c r="G232" s="19">
        <f>-sum(498,1385)</f>
        <v>-1883</v>
      </c>
      <c r="H232" s="19"/>
      <c r="I232" s="19"/>
      <c r="J232" s="19"/>
      <c r="K232" s="19"/>
      <c r="L232" s="30"/>
      <c r="M232" s="3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26">
        <v>44415.0</v>
      </c>
      <c r="B233" s="19"/>
      <c r="C233" s="27" t="str">
        <f>'2021_income'!B233</f>
        <v/>
      </c>
      <c r="D233" s="19"/>
      <c r="E233" s="27">
        <v>-53.36</v>
      </c>
      <c r="F233" s="27">
        <f>-sum(13.35,2.6,35.17,5.6,6,18.8)</f>
        <v>-81.52</v>
      </c>
      <c r="G233" s="27">
        <v>-6.99</v>
      </c>
      <c r="H233" s="19"/>
      <c r="I233" s="19"/>
      <c r="J233" s="19"/>
      <c r="K233" s="19"/>
      <c r="L233" s="30"/>
      <c r="M233" s="3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26">
        <v>44416.0</v>
      </c>
      <c r="B234" s="19"/>
      <c r="C234" s="27" t="str">
        <f>'2021_income'!B234</f>
        <v/>
      </c>
      <c r="D234" s="19"/>
      <c r="E234" s="19"/>
      <c r="F234" s="19">
        <f>-sum(2.9,9.95,12.65)</f>
        <v>-25.5</v>
      </c>
      <c r="G234" s="19"/>
      <c r="H234" s="19"/>
      <c r="I234" s="19"/>
      <c r="J234" s="19"/>
      <c r="K234" s="19"/>
      <c r="L234" s="30"/>
      <c r="M234" s="3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26">
        <v>44417.0</v>
      </c>
      <c r="B235" s="19"/>
      <c r="C235" s="27" t="str">
        <f>'2021_income'!B235</f>
        <v/>
      </c>
      <c r="D235" s="19"/>
      <c r="E235" s="19"/>
      <c r="F235" s="19"/>
      <c r="G235" s="27">
        <v>-33.5</v>
      </c>
      <c r="H235" s="19"/>
      <c r="I235" s="19"/>
      <c r="J235" s="19"/>
      <c r="K235" s="19"/>
      <c r="L235" s="30"/>
      <c r="M235" s="3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26">
        <v>44418.0</v>
      </c>
      <c r="B236" s="19"/>
      <c r="C236" s="27" t="str">
        <f>'2021_income'!B236</f>
        <v/>
      </c>
      <c r="D236" s="19"/>
      <c r="E236" s="27"/>
      <c r="F236" s="19">
        <f>-sum(10.95,25.65,18.03,31.59)</f>
        <v>-86.22</v>
      </c>
      <c r="G236" s="19"/>
      <c r="H236" s="19"/>
      <c r="I236" s="19"/>
      <c r="J236" s="19"/>
      <c r="K236" s="19"/>
      <c r="L236" s="30"/>
      <c r="M236" s="3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26">
        <v>44419.0</v>
      </c>
      <c r="B237" s="19"/>
      <c r="C237" s="27" t="str">
        <f>'2021_income'!B237</f>
        <v/>
      </c>
      <c r="D237" s="19"/>
      <c r="E237" s="27">
        <v>-4.44</v>
      </c>
      <c r="F237" s="27">
        <v>-3.1</v>
      </c>
      <c r="G237" s="19"/>
      <c r="H237" s="27"/>
      <c r="I237" s="19"/>
      <c r="J237" s="19"/>
      <c r="K237" s="19"/>
      <c r="L237" s="30"/>
      <c r="M237" s="3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26">
        <v>44420.0</v>
      </c>
      <c r="B238" s="19"/>
      <c r="C238" s="27" t="str">
        <f>'2021_income'!B238</f>
        <v/>
      </c>
      <c r="D238" s="19"/>
      <c r="E238" s="27">
        <v>-43.18</v>
      </c>
      <c r="F238" s="19">
        <f>-sum(9.7,20.04,32.89)</f>
        <v>-62.63</v>
      </c>
      <c r="G238" s="19"/>
      <c r="H238" s="19"/>
      <c r="I238" s="19"/>
      <c r="J238" s="19"/>
      <c r="K238" s="19"/>
      <c r="L238" s="30"/>
      <c r="M238" s="3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26">
        <v>44421.0</v>
      </c>
      <c r="B239" s="19"/>
      <c r="C239" s="27" t="str">
        <f>'2021_income'!B239</f>
        <v/>
      </c>
      <c r="D239" s="19"/>
      <c r="E239" s="19"/>
      <c r="F239" s="27">
        <f>-sum(50.47,20)</f>
        <v>-70.47</v>
      </c>
      <c r="G239" s="27">
        <f>-sum(70,36.7)</f>
        <v>-106.7</v>
      </c>
      <c r="H239" s="19"/>
      <c r="I239" s="19"/>
      <c r="J239" s="19"/>
      <c r="K239" s="19"/>
      <c r="L239" s="30"/>
      <c r="M239" s="3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26">
        <v>44422.0</v>
      </c>
      <c r="B240" s="19"/>
      <c r="C240" s="27" t="str">
        <f>'2021_income'!B240</f>
        <v/>
      </c>
      <c r="D240" s="19"/>
      <c r="E240" s="27">
        <v>-20.0</v>
      </c>
      <c r="F240" s="27">
        <f>-sum(5.55,3.5,6.5)</f>
        <v>-15.55</v>
      </c>
      <c r="G240" s="19"/>
      <c r="H240" s="19"/>
      <c r="I240" s="19"/>
      <c r="J240" s="19"/>
      <c r="K240" s="19"/>
      <c r="L240" s="30"/>
      <c r="M240" s="3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26">
        <v>44423.0</v>
      </c>
      <c r="B241" s="19"/>
      <c r="C241" s="27" t="str">
        <f>'2021_income'!B241</f>
        <v/>
      </c>
      <c r="D241" s="19"/>
      <c r="E241" s="19"/>
      <c r="F241" s="19">
        <f>-sum(13.5,1.4)</f>
        <v>-14.9</v>
      </c>
      <c r="G241" s="19"/>
      <c r="H241" s="19"/>
      <c r="I241" s="19"/>
      <c r="J241" s="19"/>
      <c r="K241" s="19"/>
      <c r="L241" s="30"/>
      <c r="M241" s="3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26">
        <v>44424.0</v>
      </c>
      <c r="B242" s="19"/>
      <c r="C242" s="27" t="str">
        <f>'2021_income'!B242</f>
        <v/>
      </c>
      <c r="D242" s="19"/>
      <c r="E242" s="19"/>
      <c r="F242" s="27">
        <f>-sum(15.21,10,30,141.6)</f>
        <v>-196.81</v>
      </c>
      <c r="G242" s="27">
        <v>-63.38</v>
      </c>
      <c r="H242" s="19"/>
      <c r="I242" s="19"/>
      <c r="J242" s="27"/>
      <c r="K242" s="19"/>
      <c r="L242" s="30"/>
      <c r="M242" s="3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26">
        <v>44425.0</v>
      </c>
      <c r="B243" s="19"/>
      <c r="C243" s="27" t="str">
        <f>'2021_income'!B243</f>
        <v/>
      </c>
      <c r="D243" s="19"/>
      <c r="E243" s="19"/>
      <c r="F243" s="19">
        <f>-sum(29.12,13.01,10)</f>
        <v>-52.13</v>
      </c>
      <c r="G243" s="19"/>
      <c r="H243" s="19"/>
      <c r="I243" s="19"/>
      <c r="J243" s="19"/>
      <c r="K243" s="19"/>
      <c r="L243" s="30"/>
      <c r="M243" s="3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26">
        <v>44426.0</v>
      </c>
      <c r="B244" s="19"/>
      <c r="C244" s="27" t="str">
        <f>'2021_income'!B244</f>
        <v/>
      </c>
      <c r="D244" s="19"/>
      <c r="E244" s="27">
        <v>-46.89</v>
      </c>
      <c r="F244" s="27">
        <f>-sum(15.2,27.37,2.75,20.27,9.56,34.54)</f>
        <v>-109.69</v>
      </c>
      <c r="G244" s="27"/>
      <c r="H244" s="19"/>
      <c r="I244" s="19"/>
      <c r="J244" s="19"/>
      <c r="K244" s="27"/>
      <c r="L244" s="30"/>
      <c r="M244" s="3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26">
        <v>44427.0</v>
      </c>
      <c r="B245" s="19"/>
      <c r="C245" s="27" t="str">
        <f>'2021_income'!B245</f>
        <v/>
      </c>
      <c r="D245" s="19"/>
      <c r="E245" s="19"/>
      <c r="F245" s="27">
        <f>-sum(89.16,12.63)</f>
        <v>-101.79</v>
      </c>
      <c r="G245" s="27">
        <v>-67.5</v>
      </c>
      <c r="H245" s="19"/>
      <c r="I245" s="19"/>
      <c r="J245" s="19"/>
      <c r="K245" s="19"/>
      <c r="L245" s="30"/>
      <c r="M245" s="3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26">
        <v>44428.0</v>
      </c>
      <c r="B246" s="19"/>
      <c r="C246" s="27" t="str">
        <f>'2021_income'!B246</f>
        <v/>
      </c>
      <c r="D246" s="19"/>
      <c r="E246" s="19"/>
      <c r="F246" s="19"/>
      <c r="G246" s="19"/>
      <c r="H246" s="19"/>
      <c r="I246" s="19"/>
      <c r="J246" s="19"/>
      <c r="K246" s="19"/>
      <c r="L246" s="30"/>
      <c r="M246" s="3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26">
        <v>44429.0</v>
      </c>
      <c r="B247" s="19"/>
      <c r="C247" s="27" t="str">
        <f>'2021_income'!B247</f>
        <v/>
      </c>
      <c r="D247" s="19"/>
      <c r="E247" s="27"/>
      <c r="F247" s="27">
        <f>-sum(5.6,26.41,12.88,40)</f>
        <v>-84.89</v>
      </c>
      <c r="G247" s="19"/>
      <c r="H247" s="19"/>
      <c r="I247" s="19"/>
      <c r="J247" s="19"/>
      <c r="K247" s="19"/>
      <c r="L247" s="30"/>
      <c r="M247" s="3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26">
        <v>44430.0</v>
      </c>
      <c r="B248" s="19"/>
      <c r="C248" s="27" t="str">
        <f>'2021_income'!B248</f>
        <v/>
      </c>
      <c r="D248" s="19"/>
      <c r="E248" s="19"/>
      <c r="F248" s="27"/>
      <c r="G248" s="19"/>
      <c r="H248" s="19"/>
      <c r="I248" s="19"/>
      <c r="J248" s="19"/>
      <c r="K248" s="19"/>
      <c r="L248" s="30"/>
      <c r="M248" s="3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26">
        <v>44431.0</v>
      </c>
      <c r="B249" s="19"/>
      <c r="C249" s="27" t="str">
        <f>'2021_income'!B249</f>
        <v/>
      </c>
      <c r="D249" s="19"/>
      <c r="E249" s="19"/>
      <c r="F249" s="19">
        <f>-sum(7.3,14.6,27.61,13.07,37.14,24.66)</f>
        <v>-124.38</v>
      </c>
      <c r="G249" s="19">
        <f>-sum(33.5,55.82)</f>
        <v>-89.32</v>
      </c>
      <c r="H249" s="19"/>
      <c r="I249" s="19"/>
      <c r="J249" s="19"/>
      <c r="K249" s="19"/>
      <c r="L249" s="30"/>
      <c r="M249" s="3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26">
        <v>44432.0</v>
      </c>
      <c r="B250" s="19"/>
      <c r="C250" s="27" t="str">
        <f>'2021_income'!B250</f>
        <v/>
      </c>
      <c r="D250" s="19"/>
      <c r="E250" s="19"/>
      <c r="F250" s="27">
        <v>-44.47</v>
      </c>
      <c r="G250" s="27">
        <v>-69.62</v>
      </c>
      <c r="H250" s="19"/>
      <c r="I250" s="27"/>
      <c r="J250" s="19"/>
      <c r="K250" s="19"/>
      <c r="L250" s="30"/>
      <c r="M250" s="3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26">
        <v>44433.0</v>
      </c>
      <c r="B251" s="19"/>
      <c r="C251" s="27" t="str">
        <f>'2021_income'!B251</f>
        <v/>
      </c>
      <c r="D251" s="19"/>
      <c r="E251" s="27">
        <f>-sum(51.76,2.49)</f>
        <v>-54.25</v>
      </c>
      <c r="F251" s="27">
        <f>-sum(10.22,11.9,5,8.59,16)</f>
        <v>-51.71</v>
      </c>
      <c r="G251" s="19"/>
      <c r="H251" s="19"/>
      <c r="I251" s="19"/>
      <c r="J251" s="27">
        <v>-113.8</v>
      </c>
      <c r="K251" s="27"/>
      <c r="L251" s="30"/>
      <c r="M251" s="3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26">
        <v>44434.0</v>
      </c>
      <c r="B252" s="19"/>
      <c r="C252" s="27" t="str">
        <f>'2021_income'!B252</f>
        <v/>
      </c>
      <c r="D252" s="19"/>
      <c r="E252" s="27">
        <v>-3.48</v>
      </c>
      <c r="F252" s="19"/>
      <c r="G252" s="19"/>
      <c r="H252" s="19"/>
      <c r="I252" s="19"/>
      <c r="J252" s="19"/>
      <c r="K252" s="19"/>
      <c r="L252" s="30"/>
      <c r="M252" s="3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26">
        <v>44435.0</v>
      </c>
      <c r="B253" s="19"/>
      <c r="C253" s="27" t="str">
        <f>'2021_income'!B253</f>
        <v/>
      </c>
      <c r="D253" s="19"/>
      <c r="E253" s="19"/>
      <c r="F253" s="19">
        <f>-sum(7.16,8.4,21.2,22.39,20,27.14,19.99)</f>
        <v>-126.28</v>
      </c>
      <c r="G253" s="27">
        <v>-52.2</v>
      </c>
      <c r="H253" s="19"/>
      <c r="I253" s="19"/>
      <c r="J253" s="19"/>
      <c r="K253" s="19"/>
      <c r="L253" s="30"/>
      <c r="M253" s="3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26">
        <v>44436.0</v>
      </c>
      <c r="B254" s="19"/>
      <c r="C254" s="27" t="str">
        <f>'2021_income'!B254</f>
        <v/>
      </c>
      <c r="D254" s="19"/>
      <c r="E254" s="27">
        <v>-49.36</v>
      </c>
      <c r="F254" s="19">
        <f>-sum(11.2)</f>
        <v>-11.2</v>
      </c>
      <c r="G254" s="19"/>
      <c r="H254" s="19"/>
      <c r="I254" s="19"/>
      <c r="J254" s="19"/>
      <c r="K254" s="19"/>
      <c r="L254" s="30"/>
      <c r="M254" s="3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26">
        <v>44437.0</v>
      </c>
      <c r="B255" s="19"/>
      <c r="C255" s="27" t="str">
        <f>'2021_income'!B255</f>
        <v/>
      </c>
      <c r="D255" s="19"/>
      <c r="E255" s="19"/>
      <c r="F255" s="27">
        <f>-sum(30.4,11.2,3.58,47.5)</f>
        <v>-92.68</v>
      </c>
      <c r="G255" s="19"/>
      <c r="H255" s="19"/>
      <c r="I255" s="27">
        <v>-4547.04</v>
      </c>
      <c r="J255" s="19"/>
      <c r="K255" s="19"/>
      <c r="L255" s="30"/>
      <c r="M255" s="3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26">
        <v>44438.0</v>
      </c>
      <c r="B256" s="19"/>
      <c r="C256" s="27" t="str">
        <f>'2021_income'!B256</f>
        <v/>
      </c>
      <c r="D256" s="19"/>
      <c r="E256" s="19"/>
      <c r="F256" s="27">
        <f>-sum(16.06,3.81)</f>
        <v>-19.87</v>
      </c>
      <c r="G256" s="19"/>
      <c r="H256" s="19"/>
      <c r="I256" s="19"/>
      <c r="J256" s="19"/>
      <c r="K256" s="19"/>
      <c r="L256" s="30"/>
      <c r="M256" s="3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26">
        <v>44439.0</v>
      </c>
      <c r="B257" s="19"/>
      <c r="C257" s="27" t="str">
        <f>'2021_income'!B257</f>
        <v/>
      </c>
      <c r="D257" s="19"/>
      <c r="E257" s="19"/>
      <c r="F257" s="27"/>
      <c r="G257" s="27">
        <v>-94.42</v>
      </c>
      <c r="H257" s="19"/>
      <c r="I257" s="19"/>
      <c r="J257" s="19"/>
      <c r="K257" s="19"/>
      <c r="L257" s="30"/>
      <c r="M257" s="3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26">
        <v>44440.0</v>
      </c>
      <c r="B258" s="19"/>
      <c r="C258" s="27" t="str">
        <f>'2021_income'!B258</f>
        <v/>
      </c>
      <c r="D258" s="19"/>
      <c r="E258" s="19"/>
      <c r="F258" s="27">
        <v>-125.0</v>
      </c>
      <c r="G258" s="27"/>
      <c r="H258" s="19"/>
      <c r="I258" s="19"/>
      <c r="J258" s="19"/>
      <c r="K258" s="19"/>
      <c r="L258" s="30"/>
      <c r="M258" s="3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6">
        <v>44441.0</v>
      </c>
      <c r="B259" s="19"/>
      <c r="C259" s="27" t="str">
        <f>'2021_income'!B259</f>
        <v/>
      </c>
      <c r="D259" s="19"/>
      <c r="E259" s="19"/>
      <c r="F259" s="27">
        <v>-26.11</v>
      </c>
      <c r="G259" s="27"/>
      <c r="H259" s="19"/>
      <c r="I259" s="19"/>
      <c r="J259" s="19"/>
      <c r="K259" s="19"/>
      <c r="L259" s="30"/>
      <c r="M259" s="3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6">
        <v>44442.0</v>
      </c>
      <c r="B260" s="19"/>
      <c r="C260" s="27" t="str">
        <f>'2021_income'!B260</f>
        <v/>
      </c>
      <c r="D260" s="19"/>
      <c r="E260" s="19"/>
      <c r="F260" s="19">
        <f>-sum(9.6,204.98)</f>
        <v>-214.58</v>
      </c>
      <c r="G260" s="27">
        <v>-52.2</v>
      </c>
      <c r="H260" s="19"/>
      <c r="I260" s="19"/>
      <c r="J260" s="27"/>
      <c r="K260" s="19"/>
      <c r="L260" s="30"/>
      <c r="M260" s="30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6">
        <v>44443.0</v>
      </c>
      <c r="B261" s="19"/>
      <c r="C261" s="27" t="str">
        <f>'2021_income'!B261</f>
        <v/>
      </c>
      <c r="D261" s="19"/>
      <c r="E261" s="27">
        <v>-51.14</v>
      </c>
      <c r="F261" s="27">
        <f>-sum(24,17.05)</f>
        <v>-41.05</v>
      </c>
      <c r="G261" s="19"/>
      <c r="H261" s="19"/>
      <c r="I261" s="19"/>
      <c r="J261" s="19"/>
      <c r="K261" s="19"/>
      <c r="L261" s="30"/>
      <c r="M261" s="30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6">
        <v>44444.0</v>
      </c>
      <c r="B262" s="19"/>
      <c r="C262" s="27" t="str">
        <f>'2021_income'!B262</f>
        <v/>
      </c>
      <c r="D262" s="19"/>
      <c r="E262" s="19"/>
      <c r="F262" s="27">
        <f>-sum(20.5,1.3,2.4,9.4,8.4,38.18)</f>
        <v>-80.18</v>
      </c>
      <c r="G262" s="19"/>
      <c r="H262" s="19"/>
      <c r="I262" s="19"/>
      <c r="J262" s="19"/>
      <c r="K262" s="19"/>
      <c r="L262" s="30"/>
      <c r="M262" s="30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6">
        <v>44445.0</v>
      </c>
      <c r="B263" s="19"/>
      <c r="C263" s="27" t="str">
        <f>'2021_income'!B263</f>
        <v/>
      </c>
      <c r="D263" s="19"/>
      <c r="E263" s="27"/>
      <c r="F263" s="19">
        <f>-sum(42.04,19.56,30.05,45,10.05)</f>
        <v>-146.7</v>
      </c>
      <c r="G263" s="19">
        <f>-sum(1883,33.5)</f>
        <v>-1916.5</v>
      </c>
      <c r="H263" s="19"/>
      <c r="I263" s="19"/>
      <c r="J263" s="19"/>
      <c r="K263" s="1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6">
        <v>44446.0</v>
      </c>
      <c r="B264" s="19"/>
      <c r="C264" s="27" t="str">
        <f>'2021_income'!B264</f>
        <v/>
      </c>
      <c r="D264" s="19"/>
      <c r="E264" s="19"/>
      <c r="F264" s="27"/>
      <c r="G264" s="19"/>
      <c r="H264" s="19"/>
      <c r="I264" s="19"/>
      <c r="J264" s="27"/>
      <c r="K264" s="1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6">
        <v>44447.0</v>
      </c>
      <c r="B265" s="19"/>
      <c r="C265" s="27" t="str">
        <f>'2021_income'!B265</f>
        <v/>
      </c>
      <c r="D265" s="19"/>
      <c r="E265" s="27">
        <v>-26.82</v>
      </c>
      <c r="F265" s="27">
        <f>-sum(80,2.2,8.6,12.26,16)</f>
        <v>-119.06</v>
      </c>
      <c r="G265" s="19"/>
      <c r="H265" s="19"/>
      <c r="I265" s="19"/>
      <c r="J265" s="19"/>
      <c r="K265" s="1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6">
        <v>44448.0</v>
      </c>
      <c r="B266" s="19"/>
      <c r="C266" s="27" t="str">
        <f>'2021_income'!B266</f>
        <v/>
      </c>
      <c r="D266" s="19"/>
      <c r="E266" s="27">
        <v>-3.17</v>
      </c>
      <c r="F266" s="19"/>
      <c r="G266" s="19"/>
      <c r="H266" s="19"/>
      <c r="I266" s="19"/>
      <c r="J266" s="19"/>
      <c r="K266" s="1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6">
        <v>44449.0</v>
      </c>
      <c r="B267" s="19"/>
      <c r="C267" s="27" t="str">
        <f>'2021_income'!B267</f>
        <v/>
      </c>
      <c r="D267" s="19"/>
      <c r="E267" s="27">
        <v>-1.4</v>
      </c>
      <c r="F267" s="27"/>
      <c r="G267" s="27">
        <v>-52.2</v>
      </c>
      <c r="H267" s="19"/>
      <c r="I267" s="19"/>
      <c r="J267" s="19"/>
      <c r="K267" s="1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6">
        <v>44450.0</v>
      </c>
      <c r="B268" s="19"/>
      <c r="C268" s="27" t="str">
        <f>'2021_income'!B268</f>
        <v/>
      </c>
      <c r="D268" s="19"/>
      <c r="E268" s="27">
        <v>57.56</v>
      </c>
      <c r="F268" s="27">
        <f>-sum(18.69,7.76)</f>
        <v>-26.45</v>
      </c>
      <c r="G268" s="19"/>
      <c r="H268" s="19"/>
      <c r="I268" s="19"/>
      <c r="J268" s="19"/>
      <c r="K268" s="2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6">
        <v>44451.0</v>
      </c>
      <c r="B269" s="19"/>
      <c r="C269" s="27" t="str">
        <f>'2021_income'!B269</f>
        <v/>
      </c>
      <c r="D269" s="19"/>
      <c r="E269" s="19"/>
      <c r="F269" s="27">
        <f>-sum(2.8,5.35)</f>
        <v>-8.15</v>
      </c>
      <c r="G269" s="19"/>
      <c r="H269" s="19"/>
      <c r="I269" s="19"/>
      <c r="J269" s="19"/>
      <c r="K269" s="2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6">
        <v>44452.0</v>
      </c>
      <c r="B270" s="19"/>
      <c r="C270" s="27" t="str">
        <f>'2021_income'!B270</f>
        <v/>
      </c>
      <c r="D270" s="19"/>
      <c r="E270" s="27"/>
      <c r="F270" s="27">
        <f>-sum(14.19,34,4.18,64.2)</f>
        <v>-116.57</v>
      </c>
      <c r="G270" s="27">
        <v>-69.99</v>
      </c>
      <c r="H270" s="19"/>
      <c r="I270" s="19"/>
      <c r="J270" s="19"/>
      <c r="K270" s="2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6">
        <v>44453.0</v>
      </c>
      <c r="B271" s="19"/>
      <c r="C271" s="27" t="str">
        <f>'2021_income'!B271</f>
        <v/>
      </c>
      <c r="D271" s="19"/>
      <c r="E271" s="19"/>
      <c r="F271" s="27">
        <f>-sum(32.87,119,49)</f>
        <v>-200.87</v>
      </c>
      <c r="G271" s="27">
        <v>-30.1</v>
      </c>
      <c r="H271" s="19"/>
      <c r="I271" s="19"/>
      <c r="J271" s="19"/>
      <c r="K271" s="1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6">
        <v>44454.0</v>
      </c>
      <c r="B272" s="19"/>
      <c r="C272" s="27" t="str">
        <f>'2021_income'!B272</f>
        <v/>
      </c>
      <c r="D272" s="19"/>
      <c r="E272" s="19"/>
      <c r="F272" s="27"/>
      <c r="G272" s="27"/>
      <c r="H272" s="19"/>
      <c r="I272" s="19"/>
      <c r="J272" s="19"/>
      <c r="K272" s="1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6">
        <v>44455.0</v>
      </c>
      <c r="B273" s="19"/>
      <c r="C273" s="27" t="str">
        <f>'2021_income'!B273</f>
        <v/>
      </c>
      <c r="D273" s="19"/>
      <c r="E273" s="27">
        <v>-52.91</v>
      </c>
      <c r="F273" s="27">
        <v>-24.0</v>
      </c>
      <c r="G273" s="27"/>
      <c r="H273" s="19"/>
      <c r="I273" s="19"/>
      <c r="J273" s="19"/>
      <c r="K273" s="1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6">
        <v>44456.0</v>
      </c>
      <c r="B274" s="19"/>
      <c r="C274" s="27" t="str">
        <f>'2021_income'!B274</f>
        <v/>
      </c>
      <c r="D274" s="19"/>
      <c r="E274" s="27">
        <v>-2.94</v>
      </c>
      <c r="F274" s="27">
        <f>-sum(16.5,9.24,7.8,16.87)</f>
        <v>-50.41</v>
      </c>
      <c r="G274" s="27">
        <v>-52.2</v>
      </c>
      <c r="H274" s="19"/>
      <c r="I274" s="19"/>
      <c r="J274" s="27">
        <v>-72.0</v>
      </c>
      <c r="K274" s="1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6">
        <v>44457.0</v>
      </c>
      <c r="B275" s="19"/>
      <c r="C275" s="27" t="str">
        <f>'2021_income'!B275</f>
        <v/>
      </c>
      <c r="D275" s="19"/>
      <c r="E275" s="19"/>
      <c r="F275" s="27">
        <f>-sum(2.7,2.9,14.06,38,29.98)</f>
        <v>-87.64</v>
      </c>
      <c r="G275" s="19"/>
      <c r="H275" s="19"/>
      <c r="I275" s="19"/>
      <c r="J275" s="19"/>
      <c r="K275" s="1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6">
        <v>44458.0</v>
      </c>
      <c r="B276" s="19"/>
      <c r="C276" s="27" t="str">
        <f>'2021_income'!B276</f>
        <v/>
      </c>
      <c r="D276" s="19"/>
      <c r="E276" s="27"/>
      <c r="F276" s="19">
        <f>-sum(11.7,38.39)</f>
        <v>-50.09</v>
      </c>
      <c r="G276" s="27"/>
      <c r="H276" s="19"/>
      <c r="I276" s="19"/>
      <c r="J276" s="19"/>
      <c r="K276" s="1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6">
        <v>44459.0</v>
      </c>
      <c r="B277" s="19"/>
      <c r="C277" s="27" t="str">
        <f>'2021_income'!B277</f>
        <v/>
      </c>
      <c r="D277" s="19"/>
      <c r="E277" s="27">
        <v>-56.89</v>
      </c>
      <c r="F277" s="27">
        <f>-sum(66.64,17.4)</f>
        <v>-84.04</v>
      </c>
      <c r="G277" s="27">
        <v>-23.93</v>
      </c>
      <c r="H277" s="19"/>
      <c r="I277" s="19"/>
      <c r="J277" s="19"/>
      <c r="K277" s="1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6">
        <v>44460.0</v>
      </c>
      <c r="B278" s="19"/>
      <c r="C278" s="27" t="str">
        <f>'2021_income'!B278</f>
        <v/>
      </c>
      <c r="D278" s="19"/>
      <c r="E278" s="19"/>
      <c r="F278" s="19">
        <f>-sum(11.2,4.3,13.13)</f>
        <v>-28.63</v>
      </c>
      <c r="G278" s="27">
        <v>-63.9</v>
      </c>
      <c r="H278" s="19"/>
      <c r="I278" s="19"/>
      <c r="J278" s="19"/>
      <c r="K278" s="1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6">
        <v>44461.0</v>
      </c>
      <c r="B279" s="19"/>
      <c r="C279" s="27" t="str">
        <f>'2021_income'!B279</f>
        <v/>
      </c>
      <c r="D279" s="19"/>
      <c r="E279" s="19"/>
      <c r="F279" s="27">
        <f>-sum(40.4,4.71)</f>
        <v>-45.11</v>
      </c>
      <c r="G279" s="27">
        <v>-40.03</v>
      </c>
      <c r="H279" s="19"/>
      <c r="I279" s="19"/>
      <c r="J279" s="19"/>
      <c r="K279" s="1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6">
        <v>44462.0</v>
      </c>
      <c r="B280" s="19"/>
      <c r="C280" s="27" t="str">
        <f>'2021_income'!B280</f>
        <v/>
      </c>
      <c r="D280" s="19"/>
      <c r="E280" s="19"/>
      <c r="F280" s="27">
        <f>-sum(11.5,62.2,13.02,3)</f>
        <v>-89.72</v>
      </c>
      <c r="G280" s="27"/>
      <c r="H280" s="19"/>
      <c r="I280" s="19"/>
      <c r="J280" s="19"/>
      <c r="K280" s="1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6">
        <v>44463.0</v>
      </c>
      <c r="B281" s="19"/>
      <c r="C281" s="27" t="str">
        <f>'2021_income'!B281</f>
        <v/>
      </c>
      <c r="D281" s="19"/>
      <c r="E281" s="19"/>
      <c r="F281" s="19">
        <f>-sum(19.8,5.7,4.3,12.36,31.6)</f>
        <v>-73.76</v>
      </c>
      <c r="G281" s="27">
        <v>-52.2</v>
      </c>
      <c r="H281" s="19"/>
      <c r="I281" s="19"/>
      <c r="J281" s="19"/>
      <c r="K281" s="1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6">
        <v>44464.0</v>
      </c>
      <c r="B282" s="19"/>
      <c r="C282" s="27" t="str">
        <f>'2021_income'!B282</f>
        <v/>
      </c>
      <c r="D282" s="19"/>
      <c r="E282" s="27"/>
      <c r="F282" s="27">
        <v>-28.99</v>
      </c>
      <c r="G282" s="19"/>
      <c r="H282" s="19"/>
      <c r="I282" s="19"/>
      <c r="J282" s="19"/>
      <c r="K282" s="27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6">
        <v>44465.0</v>
      </c>
      <c r="B283" s="19"/>
      <c r="C283" s="27" t="str">
        <f>'2021_income'!B283</f>
        <v/>
      </c>
      <c r="D283" s="19"/>
      <c r="E283" s="19"/>
      <c r="F283" s="27">
        <v>-9.99</v>
      </c>
      <c r="G283" s="19"/>
      <c r="H283" s="19"/>
      <c r="I283" s="19"/>
      <c r="J283" s="19"/>
      <c r="K283" s="1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6">
        <v>44466.0</v>
      </c>
      <c r="B284" s="19"/>
      <c r="C284" s="27" t="str">
        <f>'2021_income'!B284</f>
        <v/>
      </c>
      <c r="D284" s="19"/>
      <c r="E284" s="19"/>
      <c r="F284" s="27">
        <f>-sum(11.67,47.15,21.79,13.5)</f>
        <v>-94.11</v>
      </c>
      <c r="G284" s="19"/>
      <c r="H284" s="19"/>
      <c r="I284" s="19"/>
      <c r="J284" s="19"/>
      <c r="K284" s="1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6">
        <v>44467.0</v>
      </c>
      <c r="B285" s="19"/>
      <c r="C285" s="27" t="str">
        <f>'2021_income'!B285</f>
        <v/>
      </c>
      <c r="D285" s="19"/>
      <c r="E285" s="27">
        <v>-44.09</v>
      </c>
      <c r="F285" s="27"/>
      <c r="G285" s="19">
        <f>-sum(63.9,80.78)</f>
        <v>-144.68</v>
      </c>
      <c r="H285" s="19"/>
      <c r="I285" s="27">
        <v>-1999.0</v>
      </c>
      <c r="J285" s="19"/>
      <c r="K285" s="1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6">
        <v>44468.0</v>
      </c>
      <c r="B286" s="19"/>
      <c r="C286" s="27" t="str">
        <f>'2021_income'!B286</f>
        <v/>
      </c>
      <c r="D286" s="19"/>
      <c r="E286" s="27">
        <v>-3.79</v>
      </c>
      <c r="F286" s="19">
        <f>-sum(3.5,29.87,17.5,9.9)</f>
        <v>-60.77</v>
      </c>
      <c r="G286" s="27"/>
      <c r="H286" s="19"/>
      <c r="I286" s="19"/>
      <c r="J286" s="19"/>
      <c r="K286" s="1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6">
        <v>44469.0</v>
      </c>
      <c r="B287" s="19"/>
      <c r="C287" s="27" t="str">
        <f>'2021_income'!B287</f>
        <v/>
      </c>
      <c r="D287" s="19"/>
      <c r="E287" s="27">
        <v>-33.89</v>
      </c>
      <c r="F287" s="27"/>
      <c r="G287" s="27">
        <v>-24.81</v>
      </c>
      <c r="H287" s="19"/>
      <c r="I287" s="19"/>
      <c r="J287" s="19"/>
      <c r="K287" s="1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6">
        <v>44470.0</v>
      </c>
      <c r="B288" s="19"/>
      <c r="C288" s="27" t="str">
        <f>'2021_income'!B288</f>
        <v/>
      </c>
      <c r="D288" s="19"/>
      <c r="E288" s="19"/>
      <c r="F288" s="27">
        <f>-sum(10.24,45.5,15,46.18)</f>
        <v>-116.92</v>
      </c>
      <c r="G288" s="27">
        <v>-52.2</v>
      </c>
      <c r="H288" s="19"/>
      <c r="I288" s="19"/>
      <c r="J288" s="27"/>
      <c r="K288" s="2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6">
        <v>44471.0</v>
      </c>
      <c r="B289" s="19"/>
      <c r="C289" s="27" t="str">
        <f>'2021_income'!B289</f>
        <v/>
      </c>
      <c r="D289" s="19"/>
      <c r="E289" s="27">
        <v>-32.54</v>
      </c>
      <c r="F289" s="27">
        <f>-sum(6.85,14.1,5.6,14.5)</f>
        <v>-41.05</v>
      </c>
      <c r="G289" s="19"/>
      <c r="H289" s="19"/>
      <c r="I289" s="19"/>
      <c r="J289" s="19"/>
      <c r="K289" s="1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6">
        <v>44472.0</v>
      </c>
      <c r="B290" s="19"/>
      <c r="C290" s="27" t="str">
        <f>'2021_income'!B290</f>
        <v/>
      </c>
      <c r="D290" s="19"/>
      <c r="E290" s="19"/>
      <c r="F290" s="27"/>
      <c r="G290" s="19"/>
      <c r="H290" s="19"/>
      <c r="I290" s="19"/>
      <c r="J290" s="19"/>
      <c r="K290" s="2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6">
        <v>44473.0</v>
      </c>
      <c r="B291" s="19"/>
      <c r="C291" s="27" t="str">
        <f>'2021_income'!B291</f>
        <v/>
      </c>
      <c r="D291" s="19"/>
      <c r="E291" s="19"/>
      <c r="F291" s="27"/>
      <c r="G291" s="27">
        <v>-33.5</v>
      </c>
      <c r="H291" s="19"/>
      <c r="I291" s="19"/>
      <c r="J291" s="19"/>
      <c r="K291" s="27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6">
        <v>44474.0</v>
      </c>
      <c r="B292" s="19"/>
      <c r="C292" s="27" t="str">
        <f>'2021_income'!B292</f>
        <v/>
      </c>
      <c r="D292" s="19"/>
      <c r="E292" s="19"/>
      <c r="F292" s="27"/>
      <c r="G292" s="19"/>
      <c r="H292" s="19"/>
      <c r="I292" s="19"/>
      <c r="J292" s="27"/>
      <c r="K292" s="1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6">
        <v>44475.0</v>
      </c>
      <c r="B293" s="19"/>
      <c r="C293" s="27" t="str">
        <f>'2021_income'!B293</f>
        <v/>
      </c>
      <c r="D293" s="19"/>
      <c r="E293" s="27">
        <v>-61.02</v>
      </c>
      <c r="F293" s="19">
        <f>-sum(25.04,49.93,20.5)</f>
        <v>-95.47</v>
      </c>
      <c r="G293" s="19">
        <f>-sum(498,1385)</f>
        <v>-1883</v>
      </c>
      <c r="H293" s="19"/>
      <c r="I293" s="19"/>
      <c r="J293" s="27">
        <v>-43.0</v>
      </c>
      <c r="K293" s="19"/>
      <c r="L293" s="8"/>
      <c r="M293" s="8"/>
      <c r="N293" s="29"/>
      <c r="O293" s="29"/>
      <c r="P293" s="29"/>
      <c r="Q293" s="29"/>
      <c r="R293" s="29"/>
      <c r="S293" s="29"/>
      <c r="T293" s="29"/>
      <c r="U293" s="29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6">
        <v>44476.0</v>
      </c>
      <c r="B294" s="19"/>
      <c r="C294" s="27" t="str">
        <f>'2021_income'!B294</f>
        <v/>
      </c>
      <c r="D294" s="19"/>
      <c r="E294" s="27"/>
      <c r="F294" s="19">
        <f>-sum(28,10.3,10)</f>
        <v>-48.3</v>
      </c>
      <c r="G294" s="19"/>
      <c r="H294" s="19"/>
      <c r="I294" s="19"/>
      <c r="J294" s="19"/>
      <c r="K294" s="2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6">
        <v>44477.0</v>
      </c>
      <c r="B295" s="19"/>
      <c r="C295" s="27" t="str">
        <f>'2021_income'!B295</f>
        <v/>
      </c>
      <c r="D295" s="19"/>
      <c r="E295" s="27">
        <v>-30.69</v>
      </c>
      <c r="F295" s="27">
        <f>-sum(33.6,5.8,2.8)</f>
        <v>-42.2</v>
      </c>
      <c r="G295" s="27">
        <v>-77.7</v>
      </c>
      <c r="H295" s="19"/>
      <c r="I295" s="19"/>
      <c r="J295" s="19"/>
      <c r="K295" s="1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6">
        <v>44478.0</v>
      </c>
      <c r="B296" s="19"/>
      <c r="C296" s="27" t="str">
        <f>'2021_income'!B296</f>
        <v/>
      </c>
      <c r="D296" s="19"/>
      <c r="E296" s="19"/>
      <c r="F296" s="27">
        <f>-sum(3.85,21.05)</f>
        <v>-24.9</v>
      </c>
      <c r="G296" s="27"/>
      <c r="H296" s="19"/>
      <c r="I296" s="19"/>
      <c r="J296" s="19"/>
      <c r="K296" s="27">
        <v>-24.0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6">
        <v>44479.0</v>
      </c>
      <c r="B297" s="19"/>
      <c r="C297" s="27" t="str">
        <f>'2021_income'!B297</f>
        <v/>
      </c>
      <c r="D297" s="19"/>
      <c r="E297" s="27"/>
      <c r="F297" s="27">
        <f>-sum(6.25,8.4)</f>
        <v>-14.65</v>
      </c>
      <c r="G297" s="27"/>
      <c r="H297" s="19"/>
      <c r="I297" s="19"/>
      <c r="J297" s="19"/>
      <c r="K297" s="1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6">
        <v>44480.0</v>
      </c>
      <c r="B298" s="19"/>
      <c r="C298" s="27" t="str">
        <f>'2021_income'!B298</f>
        <v/>
      </c>
      <c r="D298" s="19"/>
      <c r="E298" s="27">
        <v>-30.04</v>
      </c>
      <c r="F298" s="27">
        <f>-sum(20.76,38.75,12,42.05)</f>
        <v>-113.56</v>
      </c>
      <c r="G298" s="19"/>
      <c r="H298" s="19"/>
      <c r="I298" s="19"/>
      <c r="J298" s="19"/>
      <c r="K298" s="1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6">
        <v>44481.0</v>
      </c>
      <c r="B299" s="19"/>
      <c r="C299" s="27" t="str">
        <f>'2021_income'!B299</f>
        <v/>
      </c>
      <c r="D299" s="19"/>
      <c r="E299" s="27"/>
      <c r="F299" s="27">
        <f>-sum(4.5)</f>
        <v>-4.5</v>
      </c>
      <c r="G299" s="27">
        <v>-82.78</v>
      </c>
      <c r="H299" s="19"/>
      <c r="I299" s="19"/>
      <c r="J299" s="19"/>
      <c r="K299" s="1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6">
        <v>44482.0</v>
      </c>
      <c r="B300" s="19"/>
      <c r="C300" s="27" t="str">
        <f>'2021_income'!B300</f>
        <v/>
      </c>
      <c r="D300" s="19"/>
      <c r="E300" s="19"/>
      <c r="F300" s="27">
        <f>-sum(20.5,24.3,9.99)</f>
        <v>-54.79</v>
      </c>
      <c r="G300" s="27"/>
      <c r="H300" s="19"/>
      <c r="I300" s="19"/>
      <c r="J300" s="19"/>
      <c r="K300" s="1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6">
        <v>44483.0</v>
      </c>
      <c r="B301" s="19"/>
      <c r="C301" s="27" t="str">
        <f>'2021_income'!B301</f>
        <v/>
      </c>
      <c r="D301" s="19"/>
      <c r="E301" s="27"/>
      <c r="F301" s="27">
        <f>-sum(8.85)</f>
        <v>-8.85</v>
      </c>
      <c r="G301" s="19">
        <f>-sum(21.09,69.99)</f>
        <v>-91.08</v>
      </c>
      <c r="H301" s="19"/>
      <c r="I301" s="19"/>
      <c r="J301" s="19"/>
      <c r="K301" s="1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6">
        <v>44484.0</v>
      </c>
      <c r="B302" s="19"/>
      <c r="C302" s="27" t="str">
        <f>'2021_income'!B302</f>
        <v/>
      </c>
      <c r="D302" s="19"/>
      <c r="E302" s="27">
        <v>-28.8</v>
      </c>
      <c r="F302" s="27">
        <v>-11.19</v>
      </c>
      <c r="G302" s="27">
        <v>-52.2</v>
      </c>
      <c r="H302" s="19"/>
      <c r="I302" s="19"/>
      <c r="J302" s="19"/>
      <c r="K302" s="1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6">
        <v>44485.0</v>
      </c>
      <c r="B303" s="19"/>
      <c r="C303" s="27" t="str">
        <f>'2021_income'!B303</f>
        <v/>
      </c>
      <c r="D303" s="19"/>
      <c r="E303" s="27">
        <v>-20.0</v>
      </c>
      <c r="F303" s="27">
        <f>-sum(16.1,14.4,3,3)</f>
        <v>-36.5</v>
      </c>
      <c r="G303" s="19"/>
      <c r="H303" s="19"/>
      <c r="I303" s="19"/>
      <c r="J303" s="19"/>
      <c r="K303" s="1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6">
        <v>44486.0</v>
      </c>
      <c r="B304" s="19"/>
      <c r="C304" s="27" t="str">
        <f>'2021_income'!B304</f>
        <v/>
      </c>
      <c r="D304" s="19"/>
      <c r="E304" s="19"/>
      <c r="F304" s="19">
        <f>-sum(14.72,6.5,48.5)</f>
        <v>-69.72</v>
      </c>
      <c r="G304" s="19"/>
      <c r="H304" s="19"/>
      <c r="I304" s="19"/>
      <c r="J304" s="19"/>
      <c r="K304" s="1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6">
        <v>44487.0</v>
      </c>
      <c r="B305" s="19"/>
      <c r="C305" s="27" t="str">
        <f>'2021_income'!B305</f>
        <v/>
      </c>
      <c r="D305" s="19"/>
      <c r="E305" s="19">
        <f>-sum(770,44.58)</f>
        <v>-814.58</v>
      </c>
      <c r="F305" s="27"/>
      <c r="G305" s="27">
        <v>-33.5</v>
      </c>
      <c r="H305" s="19"/>
      <c r="I305" s="19"/>
      <c r="J305" s="19"/>
      <c r="K305" s="1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6">
        <v>44488.0</v>
      </c>
      <c r="B306" s="19"/>
      <c r="C306" s="27" t="str">
        <f>'2021_income'!B306</f>
        <v/>
      </c>
      <c r="D306" s="19"/>
      <c r="E306" s="27"/>
      <c r="F306" s="27">
        <f>-sum(35.4,5.25,16.35)</f>
        <v>-57</v>
      </c>
      <c r="G306" s="19"/>
      <c r="H306" s="19"/>
      <c r="I306" s="19"/>
      <c r="J306" s="19"/>
      <c r="K306" s="1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6">
        <v>44489.0</v>
      </c>
      <c r="B307" s="19"/>
      <c r="C307" s="27" t="str">
        <f>'2021_income'!B307</f>
        <v/>
      </c>
      <c r="D307" s="19"/>
      <c r="E307" s="27"/>
      <c r="F307" s="27">
        <f>-sum(45.9,717.3,462.6,35.5,91.15,45)</f>
        <v>-1397.45</v>
      </c>
      <c r="G307" s="19"/>
      <c r="H307" s="19"/>
      <c r="I307" s="19"/>
      <c r="J307" s="19"/>
      <c r="K307" s="1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6">
        <v>44490.0</v>
      </c>
      <c r="B308" s="19"/>
      <c r="C308" s="27" t="str">
        <f>'2021_income'!B308</f>
        <v/>
      </c>
      <c r="D308" s="19"/>
      <c r="E308" s="19"/>
      <c r="F308" s="27">
        <f>-sum(17.7,17.8)</f>
        <v>-35.5</v>
      </c>
      <c r="G308" s="19"/>
      <c r="H308" s="19"/>
      <c r="I308" s="19"/>
      <c r="J308" s="27"/>
      <c r="K308" s="1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6">
        <v>44491.0</v>
      </c>
      <c r="B309" s="19"/>
      <c r="C309" s="27" t="str">
        <f>'2021_income'!B309</f>
        <v/>
      </c>
      <c r="D309" s="19"/>
      <c r="E309" s="27">
        <v>-58.56</v>
      </c>
      <c r="F309" s="27"/>
      <c r="G309" s="19"/>
      <c r="H309" s="19"/>
      <c r="I309" s="27">
        <v>-83.3</v>
      </c>
      <c r="J309" s="19"/>
      <c r="K309" s="1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6">
        <v>44492.0</v>
      </c>
      <c r="B310" s="19"/>
      <c r="C310" s="27" t="str">
        <f>'2021_income'!B310</f>
        <v/>
      </c>
      <c r="D310" s="19"/>
      <c r="E310" s="19"/>
      <c r="F310" s="27">
        <f>-sum(23.86,11.4,5.9,10.9)</f>
        <v>-52.06</v>
      </c>
      <c r="G310" s="27">
        <f>-sum(77.7,40.03)</f>
        <v>-117.73</v>
      </c>
      <c r="H310" s="19"/>
      <c r="I310" s="19"/>
      <c r="J310" s="19"/>
      <c r="K310" s="1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6">
        <v>44493.0</v>
      </c>
      <c r="B311" s="19"/>
      <c r="C311" s="27" t="str">
        <f>'2021_income'!B311</f>
        <v/>
      </c>
      <c r="D311" s="19"/>
      <c r="E311" s="27"/>
      <c r="F311" s="27">
        <v>-25.6</v>
      </c>
      <c r="G311" s="19"/>
      <c r="H311" s="19"/>
      <c r="I311" s="19"/>
      <c r="J311" s="27">
        <v>-69.78</v>
      </c>
      <c r="K311" s="1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6">
        <v>44494.0</v>
      </c>
      <c r="B312" s="19"/>
      <c r="C312" s="27" t="str">
        <f>'2021_income'!B312</f>
        <v/>
      </c>
      <c r="D312" s="19"/>
      <c r="E312" s="27">
        <v>-65.0</v>
      </c>
      <c r="F312" s="27">
        <f>-sum(12.19,36.8)</f>
        <v>-48.99</v>
      </c>
      <c r="G312" s="27"/>
      <c r="H312" s="19"/>
      <c r="I312" s="19"/>
      <c r="J312" s="19"/>
      <c r="K312" s="1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6">
        <v>44495.0</v>
      </c>
      <c r="B313" s="19"/>
      <c r="C313" s="27" t="str">
        <f>'2021_income'!B313</f>
        <v/>
      </c>
      <c r="D313" s="19"/>
      <c r="E313" s="19"/>
      <c r="F313" s="27">
        <f>-sum(30.5,92.33,106.37,38.99,4,15)</f>
        <v>-287.19</v>
      </c>
      <c r="G313" s="27">
        <f>-sum(30.66,36.33)</f>
        <v>-66.99</v>
      </c>
      <c r="H313" s="19"/>
      <c r="I313" s="19"/>
      <c r="J313" s="19"/>
      <c r="K313" s="1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6">
        <v>44496.0</v>
      </c>
      <c r="B314" s="19"/>
      <c r="C314" s="27" t="str">
        <f>'2021_income'!B314</f>
        <v/>
      </c>
      <c r="D314" s="19"/>
      <c r="E314" s="27">
        <v>-50.29</v>
      </c>
      <c r="F314" s="27"/>
      <c r="G314" s="27"/>
      <c r="H314" s="19"/>
      <c r="I314" s="19"/>
      <c r="J314" s="19"/>
      <c r="K314" s="1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6">
        <v>44497.0</v>
      </c>
      <c r="B315" s="19"/>
      <c r="C315" s="27" t="str">
        <f>'2021_income'!B315</f>
        <v/>
      </c>
      <c r="D315" s="19"/>
      <c r="E315" s="19"/>
      <c r="F315" s="19"/>
      <c r="G315" s="27">
        <v>-1050.0</v>
      </c>
      <c r="H315" s="19"/>
      <c r="I315" s="19"/>
      <c r="J315" s="19"/>
      <c r="K315" s="1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6">
        <v>44498.0</v>
      </c>
      <c r="B316" s="19"/>
      <c r="C316" s="27" t="str">
        <f>'2021_income'!B316</f>
        <v/>
      </c>
      <c r="D316" s="19"/>
      <c r="E316" s="27"/>
      <c r="F316" s="19">
        <f>-sum(3.53,30)</f>
        <v>-33.53</v>
      </c>
      <c r="G316" s="27">
        <v>-51.8</v>
      </c>
      <c r="H316" s="19"/>
      <c r="I316" s="19"/>
      <c r="J316" s="19"/>
      <c r="K316" s="1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6">
        <v>44499.0</v>
      </c>
      <c r="B317" s="19"/>
      <c r="C317" s="27" t="str">
        <f>'2021_income'!B317</f>
        <v/>
      </c>
      <c r="D317" s="19"/>
      <c r="E317" s="19"/>
      <c r="F317" s="27">
        <v>-42.23</v>
      </c>
      <c r="G317" s="27"/>
      <c r="H317" s="19"/>
      <c r="I317" s="19"/>
      <c r="J317" s="19"/>
      <c r="K317" s="1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6">
        <v>44500.0</v>
      </c>
      <c r="B318" s="19"/>
      <c r="C318" s="27" t="str">
        <f>'2021_income'!B318</f>
        <v/>
      </c>
      <c r="D318" s="19"/>
      <c r="E318" s="27">
        <v>-56.76</v>
      </c>
      <c r="F318" s="27">
        <f>-sum(8.4,8.2,38,17.5,40)</f>
        <v>-112.1</v>
      </c>
      <c r="G318" s="19"/>
      <c r="H318" s="19"/>
      <c r="I318" s="19"/>
      <c r="J318" s="19"/>
      <c r="K318" s="1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6">
        <v>44501.0</v>
      </c>
      <c r="B319" s="19"/>
      <c r="C319" s="27" t="str">
        <f>'2021_income'!B319</f>
        <v/>
      </c>
      <c r="D319" s="19"/>
      <c r="E319" s="27"/>
      <c r="F319" s="27">
        <f>-sum(60.66,11.99,23.66,9.5,99,36.97,24.55)</f>
        <v>-266.33</v>
      </c>
      <c r="G319" s="27">
        <v>-33.5</v>
      </c>
      <c r="H319" s="19"/>
      <c r="I319" s="19"/>
      <c r="J319" s="19"/>
      <c r="K319" s="1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6">
        <v>44502.0</v>
      </c>
      <c r="B320" s="19"/>
      <c r="C320" s="27" t="str">
        <f>'2021_income'!B320</f>
        <v/>
      </c>
      <c r="D320" s="19"/>
      <c r="E320" s="19"/>
      <c r="F320" s="19">
        <f>-sum(21.5,26.1,16.1,3,11.65)</f>
        <v>-78.35</v>
      </c>
      <c r="G320" s="19"/>
      <c r="H320" s="19"/>
      <c r="I320" s="19"/>
      <c r="J320" s="19"/>
      <c r="K320" s="1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6">
        <v>44503.0</v>
      </c>
      <c r="B321" s="19"/>
      <c r="C321" s="27" t="str">
        <f>'2021_income'!B321</f>
        <v/>
      </c>
      <c r="D321" s="19"/>
      <c r="E321" s="27">
        <v>-55.18</v>
      </c>
      <c r="F321" s="27">
        <v>-4.3</v>
      </c>
      <c r="G321" s="27"/>
      <c r="H321" s="19"/>
      <c r="I321" s="19"/>
      <c r="J321" s="19"/>
      <c r="K321" s="1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6">
        <v>44504.0</v>
      </c>
      <c r="B322" s="19"/>
      <c r="C322" s="27" t="str">
        <f>'2021_income'!B322</f>
        <v/>
      </c>
      <c r="D322" s="19"/>
      <c r="E322" s="27">
        <v>-1.62</v>
      </c>
      <c r="F322" s="19">
        <f>-sum(73.73)</f>
        <v>-73.73</v>
      </c>
      <c r="G322" s="19"/>
      <c r="H322" s="19"/>
      <c r="I322" s="19"/>
      <c r="J322" s="27"/>
      <c r="K322" s="1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6">
        <v>44505.0</v>
      </c>
      <c r="B323" s="19"/>
      <c r="C323" s="27" t="str">
        <f>'2021_income'!B323</f>
        <v/>
      </c>
      <c r="D323" s="19"/>
      <c r="E323" s="27"/>
      <c r="F323" s="19">
        <f>-sum(101.83,33.57,14)</f>
        <v>-149.4</v>
      </c>
      <c r="G323" s="27">
        <v>-52.2</v>
      </c>
      <c r="H323" s="19"/>
      <c r="I323" s="19"/>
      <c r="J323" s="27"/>
      <c r="K323" s="1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6">
        <v>44506.0</v>
      </c>
      <c r="B324" s="19"/>
      <c r="C324" s="27" t="str">
        <f>'2021_income'!B324</f>
        <v/>
      </c>
      <c r="D324" s="19"/>
      <c r="E324" s="27">
        <v>-49.09</v>
      </c>
      <c r="F324" s="19">
        <f>-sum(13.5,3,30)</f>
        <v>-46.5</v>
      </c>
      <c r="G324" s="19"/>
      <c r="H324" s="19"/>
      <c r="I324" s="19"/>
      <c r="J324" s="19"/>
      <c r="K324" s="1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6">
        <v>44507.0</v>
      </c>
      <c r="B325" s="19"/>
      <c r="C325" s="27" t="str">
        <f>'2021_income'!B325</f>
        <v/>
      </c>
      <c r="D325" s="19"/>
      <c r="E325" s="27"/>
      <c r="F325" s="19">
        <f>-sum(12.94,10.7,3,9.02,1.95)</f>
        <v>-37.61</v>
      </c>
      <c r="G325" s="19"/>
      <c r="H325" s="19"/>
      <c r="I325" s="19"/>
      <c r="J325" s="19"/>
      <c r="K325" s="27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6">
        <v>44508.0</v>
      </c>
      <c r="B326" s="19"/>
      <c r="C326" s="27" t="str">
        <f>'2021_income'!B326</f>
        <v/>
      </c>
      <c r="D326" s="19"/>
      <c r="E326" s="19"/>
      <c r="F326" s="27">
        <f>-sum(1.95,35.8)</f>
        <v>-37.75</v>
      </c>
      <c r="G326" s="27">
        <v>-1883.0</v>
      </c>
      <c r="H326" s="19"/>
      <c r="I326" s="19"/>
      <c r="J326" s="19"/>
      <c r="K326" s="19"/>
      <c r="L326" s="19">
        <f>sum(E321,E324,E328,E332,E337,E342,E347)</f>
        <v>-361.43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6">
        <v>44509.0</v>
      </c>
      <c r="B327" s="19"/>
      <c r="C327" s="27" t="str">
        <f>'2021_income'!B327</f>
        <v/>
      </c>
      <c r="D327" s="19"/>
      <c r="E327" s="27"/>
      <c r="F327" s="27">
        <f>-sum(39.89,5.22,27.81)</f>
        <v>-72.92</v>
      </c>
      <c r="G327" s="27">
        <v>-42.35</v>
      </c>
      <c r="H327" s="19"/>
      <c r="I327" s="19"/>
      <c r="J327" s="19"/>
      <c r="K327" s="1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6">
        <v>44510.0</v>
      </c>
      <c r="B328" s="19"/>
      <c r="C328" s="27" t="str">
        <f>'2021_income'!B328</f>
        <v/>
      </c>
      <c r="D328" s="19"/>
      <c r="E328" s="27">
        <v>-46.38</v>
      </c>
      <c r="F328" s="19">
        <f>-sum(32.15,174.21,38.7,20)</f>
        <v>-265.06</v>
      </c>
      <c r="G328" s="27"/>
      <c r="H328" s="19"/>
      <c r="I328" s="19"/>
      <c r="J328" s="27"/>
      <c r="K328" s="1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6">
        <v>44511.0</v>
      </c>
      <c r="B329" s="19"/>
      <c r="C329" s="27" t="str">
        <f>'2021_income'!B329</f>
        <v/>
      </c>
      <c r="D329" s="19"/>
      <c r="E329" s="27"/>
      <c r="F329" s="27">
        <f>-sum(40.4,30,18.05,23.73)</f>
        <v>-112.18</v>
      </c>
      <c r="G329" s="27">
        <v>-16.25</v>
      </c>
      <c r="H329" s="19"/>
      <c r="I329" s="19"/>
      <c r="J329" s="27"/>
      <c r="K329" s="27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6">
        <v>44512.0</v>
      </c>
      <c r="B330" s="19"/>
      <c r="C330" s="27" t="str">
        <f>'2021_income'!B330</f>
        <v/>
      </c>
      <c r="D330" s="19"/>
      <c r="E330" s="19"/>
      <c r="F330" s="27"/>
      <c r="G330" s="27">
        <v>-52.2</v>
      </c>
      <c r="H330" s="19"/>
      <c r="I330" s="19"/>
      <c r="J330" s="27"/>
      <c r="K330" s="27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6">
        <v>44513.0</v>
      </c>
      <c r="B331" s="19"/>
      <c r="C331" s="27" t="str">
        <f>'2021_income'!B331</f>
        <v/>
      </c>
      <c r="D331" s="19"/>
      <c r="E331" s="27">
        <v>-30.0</v>
      </c>
      <c r="F331" s="19">
        <f>-sum(16.2,9.22,38)</f>
        <v>-63.42</v>
      </c>
      <c r="G331" s="19"/>
      <c r="H331" s="19"/>
      <c r="I331" s="19"/>
      <c r="J331" s="19"/>
      <c r="K331" s="1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6">
        <v>44514.0</v>
      </c>
      <c r="B332" s="19"/>
      <c r="C332" s="27" t="str">
        <f>'2021_income'!B332</f>
        <v/>
      </c>
      <c r="D332" s="19"/>
      <c r="E332" s="27">
        <v>-62.58</v>
      </c>
      <c r="F332" s="27">
        <f>-sum(9.9,1.55,21,6.24)</f>
        <v>-38.69</v>
      </c>
      <c r="G332" s="19"/>
      <c r="H332" s="19"/>
      <c r="I332" s="19"/>
      <c r="J332" s="19"/>
      <c r="K332" s="1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6">
        <v>44515.0</v>
      </c>
      <c r="B333" s="19"/>
      <c r="C333" s="27" t="str">
        <f>'2021_income'!B333</f>
        <v/>
      </c>
      <c r="D333" s="19"/>
      <c r="E333" s="27"/>
      <c r="F333" s="19">
        <f>-sum(23,49.9,19.4,15)</f>
        <v>-107.3</v>
      </c>
      <c r="G333" s="27">
        <v>-33.5</v>
      </c>
      <c r="H333" s="19"/>
      <c r="I333" s="19"/>
      <c r="J333" s="19"/>
      <c r="K333" s="1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6">
        <v>44516.0</v>
      </c>
      <c r="B334" s="19"/>
      <c r="C334" s="27" t="str">
        <f>'2021_income'!B334</f>
        <v/>
      </c>
      <c r="D334" s="19"/>
      <c r="E334" s="27"/>
      <c r="F334" s="27">
        <f>-sum(73.95,7,15.31,27.1,4.99,10.16)</f>
        <v>-138.51</v>
      </c>
      <c r="G334" s="27">
        <v>-117.23</v>
      </c>
      <c r="H334" s="19"/>
      <c r="I334" s="19"/>
      <c r="J334" s="19"/>
      <c r="K334" s="2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6">
        <v>44517.0</v>
      </c>
      <c r="B335" s="19"/>
      <c r="C335" s="27" t="str">
        <f>'2021_income'!B335</f>
        <v/>
      </c>
      <c r="D335" s="19"/>
      <c r="E335" s="27"/>
      <c r="F335" s="27"/>
      <c r="G335" s="19"/>
      <c r="H335" s="19"/>
      <c r="I335" s="19"/>
      <c r="J335" s="19"/>
      <c r="K335" s="1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6">
        <v>44518.0</v>
      </c>
      <c r="B336" s="19"/>
      <c r="C336" s="27" t="str">
        <f>'2021_income'!B336</f>
        <v/>
      </c>
      <c r="D336" s="19"/>
      <c r="E336" s="27"/>
      <c r="F336" s="27"/>
      <c r="G336" s="19"/>
      <c r="H336" s="19"/>
      <c r="I336" s="19"/>
      <c r="J336" s="19"/>
      <c r="K336" s="1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6">
        <v>44519.0</v>
      </c>
      <c r="B337" s="19"/>
      <c r="C337" s="27" t="str">
        <f>'2021_income'!B337</f>
        <v/>
      </c>
      <c r="D337" s="19"/>
      <c r="E337" s="27">
        <v>-47.06</v>
      </c>
      <c r="F337" s="19">
        <f>-sum(22.05,12.81,40.4,3.9,7.5)</f>
        <v>-86.66</v>
      </c>
      <c r="G337" s="27">
        <v>-52.2</v>
      </c>
      <c r="H337" s="19"/>
      <c r="I337" s="19"/>
      <c r="J337" s="19"/>
      <c r="K337" s="27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6">
        <v>44520.0</v>
      </c>
      <c r="B338" s="19"/>
      <c r="C338" s="27" t="str">
        <f>'2021_income'!B338</f>
        <v/>
      </c>
      <c r="D338" s="19"/>
      <c r="E338" s="27"/>
      <c r="F338" s="27">
        <f>-sum(28.2,9.9,16.2,15.9,1.5,24.2)</f>
        <v>-95.9</v>
      </c>
      <c r="G338" s="19"/>
      <c r="H338" s="19"/>
      <c r="I338" s="19"/>
      <c r="J338" s="19"/>
      <c r="K338" s="27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6">
        <v>44521.0</v>
      </c>
      <c r="B339" s="19"/>
      <c r="C339" s="27" t="str">
        <f>'2021_income'!B339</f>
        <v/>
      </c>
      <c r="D339" s="19"/>
      <c r="E339" s="27"/>
      <c r="F339" s="27">
        <v>-18.9</v>
      </c>
      <c r="G339" s="19"/>
      <c r="H339" s="19"/>
      <c r="I339" s="19"/>
      <c r="J339" s="19"/>
      <c r="K339" s="27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6">
        <v>44522.0</v>
      </c>
      <c r="B340" s="19"/>
      <c r="C340" s="27" t="str">
        <f>'2021_income'!B340</f>
        <v/>
      </c>
      <c r="D340" s="19"/>
      <c r="E340" s="19"/>
      <c r="F340" s="27">
        <f>-sum(71.14,63.9,9.15)</f>
        <v>-144.19</v>
      </c>
      <c r="G340" s="27">
        <v>-40.03</v>
      </c>
      <c r="H340" s="19"/>
      <c r="I340" s="19"/>
      <c r="J340" s="19"/>
      <c r="K340" s="1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6">
        <v>44523.0</v>
      </c>
      <c r="B341" s="19"/>
      <c r="C341" s="27" t="str">
        <f>'2021_income'!B341</f>
        <v/>
      </c>
      <c r="D341" s="19"/>
      <c r="E341" s="27"/>
      <c r="F341" s="27">
        <f>-sum(139,1.5,15.21)</f>
        <v>-155.71</v>
      </c>
      <c r="G341" s="27">
        <v>-47.66</v>
      </c>
      <c r="H341" s="19"/>
      <c r="I341" s="19"/>
      <c r="J341" s="19"/>
      <c r="K341" s="1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6">
        <v>44524.0</v>
      </c>
      <c r="B342" s="19"/>
      <c r="C342" s="27" t="str">
        <f>'2021_income'!B342</f>
        <v/>
      </c>
      <c r="D342" s="19"/>
      <c r="E342" s="27">
        <v>-45.75</v>
      </c>
      <c r="F342" s="27">
        <f>-sum(11.3,13.99,37.8)</f>
        <v>-63.09</v>
      </c>
      <c r="G342" s="27"/>
      <c r="H342" s="27">
        <v>-845.9</v>
      </c>
      <c r="I342" s="19"/>
      <c r="J342" s="19"/>
      <c r="K342" s="1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6">
        <v>44525.0</v>
      </c>
      <c r="B343" s="19"/>
      <c r="C343" s="27" t="str">
        <f>'2021_income'!B343</f>
        <v/>
      </c>
      <c r="D343" s="19"/>
      <c r="E343" s="19"/>
      <c r="F343" s="27">
        <f>-sum(6.99,177.04,0.32,23)</f>
        <v>-207.35</v>
      </c>
      <c r="G343" s="19">
        <f>-sum(64.99,3.46)</f>
        <v>-68.45</v>
      </c>
      <c r="H343" s="19"/>
      <c r="I343" s="19"/>
      <c r="J343" s="19"/>
      <c r="K343" s="1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6">
        <v>44526.0</v>
      </c>
      <c r="B344" s="19"/>
      <c r="C344" s="27" t="str">
        <f>'2021_income'!B344</f>
        <v/>
      </c>
      <c r="D344" s="19"/>
      <c r="E344" s="19"/>
      <c r="F344" s="27">
        <f>-sum(20,3.8,5,20,114)</f>
        <v>-162.8</v>
      </c>
      <c r="G344" s="27">
        <v>-77.7</v>
      </c>
      <c r="H344" s="19"/>
      <c r="I344" s="19"/>
      <c r="J344" s="19"/>
      <c r="K344" s="1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6">
        <v>44527.0</v>
      </c>
      <c r="B345" s="19"/>
      <c r="C345" s="27" t="str">
        <f>'2021_income'!B345</f>
        <v/>
      </c>
      <c r="D345" s="19"/>
      <c r="E345" s="27"/>
      <c r="F345" s="19">
        <f>-sum(17.53,3.54,6.8,37.62)</f>
        <v>-65.49</v>
      </c>
      <c r="G345" s="19"/>
      <c r="H345" s="19"/>
      <c r="I345" s="19"/>
      <c r="J345" s="19"/>
      <c r="K345" s="27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6">
        <v>44528.0</v>
      </c>
      <c r="B346" s="19"/>
      <c r="C346" s="27" t="str">
        <f>'2021_income'!B346</f>
        <v/>
      </c>
      <c r="D346" s="19"/>
      <c r="E346" s="19"/>
      <c r="F346" s="19">
        <f>-sum(12.35,13.94,39,4.5,9)</f>
        <v>-78.79</v>
      </c>
      <c r="G346" s="19"/>
      <c r="H346" s="19"/>
      <c r="I346" s="19"/>
      <c r="J346" s="19"/>
      <c r="K346" s="1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6">
        <v>44529.0</v>
      </c>
      <c r="B347" s="19"/>
      <c r="C347" s="27" t="str">
        <f>'2021_income'!B347</f>
        <v/>
      </c>
      <c r="D347" s="19"/>
      <c r="E347" s="27">
        <v>-55.39</v>
      </c>
      <c r="F347" s="19">
        <f>-sum(36,18,115.55,6.99,7,17.95,7,36)</f>
        <v>-244.49</v>
      </c>
      <c r="G347" s="27">
        <v>-33.5</v>
      </c>
      <c r="H347" s="19"/>
      <c r="I347" s="19"/>
      <c r="J347" s="19"/>
      <c r="K347" s="1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6">
        <v>44530.0</v>
      </c>
      <c r="B348" s="19"/>
      <c r="C348" s="27" t="str">
        <f>'2021_income'!B348</f>
        <v/>
      </c>
      <c r="D348" s="19"/>
      <c r="E348" s="27"/>
      <c r="F348" s="19">
        <f>-sum(24.99,37.15,50)</f>
        <v>-112.14</v>
      </c>
      <c r="G348" s="19"/>
      <c r="H348" s="19"/>
      <c r="I348" s="19"/>
      <c r="J348" s="19"/>
      <c r="K348" s="27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6">
        <v>44531.0</v>
      </c>
      <c r="B349" s="19"/>
      <c r="C349" s="27" t="str">
        <f>'2021_income'!B349</f>
        <v/>
      </c>
      <c r="D349" s="19"/>
      <c r="E349" s="19"/>
      <c r="F349" s="27">
        <v>-28.0</v>
      </c>
      <c r="G349" s="27"/>
      <c r="H349" s="19"/>
      <c r="I349" s="19"/>
      <c r="J349" s="27"/>
      <c r="K349" s="1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6">
        <v>44532.0</v>
      </c>
      <c r="B350" s="19"/>
      <c r="C350" s="27" t="str">
        <f>'2021_income'!B350</f>
        <v/>
      </c>
      <c r="D350" s="19"/>
      <c r="E350" s="27">
        <v>-58.33</v>
      </c>
      <c r="F350" s="19"/>
      <c r="G350" s="27"/>
      <c r="H350" s="19"/>
      <c r="I350" s="19"/>
      <c r="J350" s="19"/>
      <c r="K350" s="1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6">
        <v>44533.0</v>
      </c>
      <c r="B351" s="19"/>
      <c r="C351" s="27" t="str">
        <f>'2021_income'!B351</f>
        <v/>
      </c>
      <c r="D351" s="19"/>
      <c r="E351" s="19"/>
      <c r="F351" s="19">
        <f>-sum(24)</f>
        <v>-24</v>
      </c>
      <c r="G351" s="27">
        <v>-52.2</v>
      </c>
      <c r="H351" s="19"/>
      <c r="I351" s="19"/>
      <c r="J351" s="19"/>
      <c r="K351" s="1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6">
        <v>44534.0</v>
      </c>
      <c r="B352" s="19"/>
      <c r="C352" s="27" t="str">
        <f>'2021_income'!B352</f>
        <v/>
      </c>
      <c r="D352" s="19"/>
      <c r="E352" s="27"/>
      <c r="F352" s="19">
        <f>-sum(55.07,13.98,23.98,44.01,9.6,4.2)</f>
        <v>-150.84</v>
      </c>
      <c r="G352" s="19"/>
      <c r="H352" s="19"/>
      <c r="I352" s="19"/>
      <c r="J352" s="19"/>
      <c r="K352" s="1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6">
        <v>44535.0</v>
      </c>
      <c r="B353" s="19"/>
      <c r="C353" s="27" t="str">
        <f>'2021_income'!B353</f>
        <v/>
      </c>
      <c r="D353" s="19"/>
      <c r="E353" s="19"/>
      <c r="F353" s="27">
        <f>-sum(9.9,11.65,20,9,1.9,29.52)</f>
        <v>-81.97</v>
      </c>
      <c r="G353" s="19"/>
      <c r="H353" s="19"/>
      <c r="I353" s="19"/>
      <c r="J353" s="19"/>
      <c r="K353" s="27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6">
        <v>44536.0</v>
      </c>
      <c r="B354" s="19"/>
      <c r="C354" s="27" t="str">
        <f>'2021_income'!B354</f>
        <v/>
      </c>
      <c r="D354" s="19"/>
      <c r="E354" s="19"/>
      <c r="F354" s="19">
        <f>-sum(8,27.35,19.99,10,2,25.54)</f>
        <v>-92.88</v>
      </c>
      <c r="G354" s="27">
        <f>-sum(29.17,1385,498)</f>
        <v>-1912.17</v>
      </c>
      <c r="H354" s="19"/>
      <c r="I354" s="19"/>
      <c r="J354" s="19"/>
      <c r="K354" s="1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6">
        <v>44537.0</v>
      </c>
      <c r="B355" s="19"/>
      <c r="C355" s="27" t="str">
        <f>'2021_income'!B355</f>
        <v/>
      </c>
      <c r="D355" s="19"/>
      <c r="E355" s="27"/>
      <c r="F355" s="27"/>
      <c r="G355" s="27">
        <v>-43.65</v>
      </c>
      <c r="H355" s="19"/>
      <c r="I355" s="19"/>
      <c r="J355" s="19"/>
      <c r="K355" s="1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6">
        <v>44538.0</v>
      </c>
      <c r="B356" s="19"/>
      <c r="C356" s="27" t="str">
        <f>'2021_income'!B356</f>
        <v/>
      </c>
      <c r="D356" s="19"/>
      <c r="E356" s="27">
        <v>-51.67</v>
      </c>
      <c r="F356" s="19">
        <f>-sum(13.5,75.93)</f>
        <v>-89.43</v>
      </c>
      <c r="G356" s="27"/>
      <c r="H356" s="19"/>
      <c r="I356" s="19"/>
      <c r="J356" s="19"/>
      <c r="K356" s="1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6">
        <v>44539.0</v>
      </c>
      <c r="B357" s="19"/>
      <c r="C357" s="27" t="str">
        <f>'2021_income'!B357</f>
        <v/>
      </c>
      <c r="D357" s="19"/>
      <c r="E357" s="27">
        <v>-40.91</v>
      </c>
      <c r="F357" s="27">
        <f>-sum(60,4.08,10)</f>
        <v>-74.08</v>
      </c>
      <c r="G357" s="27"/>
      <c r="H357" s="19"/>
      <c r="I357" s="19"/>
      <c r="J357" s="19"/>
      <c r="K357" s="1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6">
        <v>44540.0</v>
      </c>
      <c r="B358" s="19"/>
      <c r="C358" s="27" t="str">
        <f>'2021_income'!B358</f>
        <v/>
      </c>
      <c r="D358" s="19"/>
      <c r="E358" s="19"/>
      <c r="F358" s="19">
        <f>-sum(27,39.5)</f>
        <v>-66.5</v>
      </c>
      <c r="G358" s="27">
        <f>-sum(64.48,29.8)</f>
        <v>-94.28</v>
      </c>
      <c r="H358" s="19"/>
      <c r="I358" s="19"/>
      <c r="J358" s="19"/>
      <c r="K358" s="1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6">
        <v>44541.0</v>
      </c>
      <c r="B359" s="19"/>
      <c r="C359" s="27" t="str">
        <f>'2021_income'!B359</f>
        <v/>
      </c>
      <c r="D359" s="19"/>
      <c r="E359" s="27">
        <v>-20.0</v>
      </c>
      <c r="F359" s="19">
        <f>-sum(9.05,1.2,47.6)</f>
        <v>-57.85</v>
      </c>
      <c r="G359" s="19"/>
      <c r="H359" s="19"/>
      <c r="I359" s="19"/>
      <c r="J359" s="19"/>
      <c r="K359" s="1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6">
        <v>44542.0</v>
      </c>
      <c r="B360" s="19"/>
      <c r="C360" s="27" t="str">
        <f>'2021_income'!B360</f>
        <v/>
      </c>
      <c r="D360" s="19"/>
      <c r="E360" s="19"/>
      <c r="F360" s="19">
        <f>-sum(14,2.5,3.3,71.81,15.9)</f>
        <v>-107.51</v>
      </c>
      <c r="G360" s="19"/>
      <c r="H360" s="19"/>
      <c r="I360" s="19"/>
      <c r="J360" s="19"/>
      <c r="K360" s="1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6">
        <v>44543.0</v>
      </c>
      <c r="B361" s="19"/>
      <c r="C361" s="27" t="str">
        <f>'2021_income'!B361</f>
        <v/>
      </c>
      <c r="D361" s="19"/>
      <c r="E361" s="27">
        <v>-51.25</v>
      </c>
      <c r="F361" s="19">
        <f>-sum(40.4,16,1,6.2)</f>
        <v>-63.6</v>
      </c>
      <c r="G361" s="27">
        <v>-33.5</v>
      </c>
      <c r="H361" s="19"/>
      <c r="I361" s="19"/>
      <c r="J361" s="19"/>
      <c r="K361" s="1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6">
        <v>44544.0</v>
      </c>
      <c r="B362" s="19"/>
      <c r="C362" s="27" t="str">
        <f>'2021_income'!B362</f>
        <v/>
      </c>
      <c r="D362" s="19"/>
      <c r="E362" s="19"/>
      <c r="F362" s="19">
        <f>-sum(22.6,169,37.97,19.95,20)</f>
        <v>-269.52</v>
      </c>
      <c r="G362" s="19"/>
      <c r="H362" s="19"/>
      <c r="I362" s="19"/>
      <c r="J362" s="19"/>
      <c r="K362" s="1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6">
        <v>44545.0</v>
      </c>
      <c r="B363" s="19"/>
      <c r="C363" s="27" t="str">
        <f>'2021_income'!B363</f>
        <v/>
      </c>
      <c r="D363" s="19"/>
      <c r="E363" s="19"/>
      <c r="F363" s="27"/>
      <c r="G363" s="19"/>
      <c r="H363" s="19"/>
      <c r="I363" s="19"/>
      <c r="J363" s="19"/>
      <c r="K363" s="1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6">
        <v>44546.0</v>
      </c>
      <c r="B364" s="19"/>
      <c r="C364" s="27" t="str">
        <f>'2021_income'!B364</f>
        <v/>
      </c>
      <c r="D364" s="19"/>
      <c r="E364" s="27">
        <v>-36.86</v>
      </c>
      <c r="F364" s="19">
        <f>-sum(23,33.5)</f>
        <v>-56.5</v>
      </c>
      <c r="G364" s="19"/>
      <c r="H364" s="19"/>
      <c r="I364" s="19"/>
      <c r="J364" s="19"/>
      <c r="K364" s="1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6">
        <v>44547.0</v>
      </c>
      <c r="B365" s="19"/>
      <c r="C365" s="27" t="str">
        <f>'2021_income'!B365</f>
        <v/>
      </c>
      <c r="D365" s="19"/>
      <c r="E365" s="19"/>
      <c r="F365" s="19">
        <f>-sum(0.7,14.48,2.9)</f>
        <v>-18.08</v>
      </c>
      <c r="G365" s="27">
        <v>-41.0</v>
      </c>
      <c r="H365" s="19"/>
      <c r="I365" s="19"/>
      <c r="J365" s="19"/>
      <c r="K365" s="1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6">
        <v>44548.0</v>
      </c>
      <c r="B366" s="19"/>
      <c r="C366" s="27" t="str">
        <f>'2021_income'!B366</f>
        <v/>
      </c>
      <c r="D366" s="19"/>
      <c r="E366" s="19"/>
      <c r="F366" s="19"/>
      <c r="G366" s="19"/>
      <c r="H366" s="19"/>
      <c r="I366" s="19"/>
      <c r="J366" s="19"/>
      <c r="K366" s="1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6">
        <v>44549.0</v>
      </c>
      <c r="B367" s="19"/>
      <c r="C367" s="27" t="str">
        <f>'2021_income'!B367</f>
        <v/>
      </c>
      <c r="D367" s="19"/>
      <c r="E367" s="19"/>
      <c r="F367" s="27">
        <f>-sum(8.5,9.9,3.45,3.8,15.12,16.2,1)</f>
        <v>-57.97</v>
      </c>
      <c r="G367" s="19"/>
      <c r="H367" s="19"/>
      <c r="I367" s="19"/>
      <c r="J367" s="19"/>
      <c r="K367" s="27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6">
        <v>44550.0</v>
      </c>
      <c r="B368" s="19"/>
      <c r="C368" s="27" t="str">
        <f>'2021_income'!B368</f>
        <v/>
      </c>
      <c r="D368" s="19"/>
      <c r="E368" s="27">
        <v>-50.08</v>
      </c>
      <c r="F368" s="19">
        <f>-sum(19.77,45,13.2,103.62)</f>
        <v>-181.59</v>
      </c>
      <c r="G368" s="27">
        <v>-350.0</v>
      </c>
      <c r="H368" s="19"/>
      <c r="I368" s="19"/>
      <c r="J368" s="19"/>
      <c r="K368" s="1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6">
        <v>44551.0</v>
      </c>
      <c r="B369" s="19"/>
      <c r="C369" s="27" t="str">
        <f>'2021_income'!B369</f>
        <v/>
      </c>
      <c r="D369" s="19"/>
      <c r="E369" s="27"/>
      <c r="F369" s="19">
        <f>-sum(64.68,6.98,29.95)</f>
        <v>-101.61</v>
      </c>
      <c r="G369" s="19"/>
      <c r="H369" s="19"/>
      <c r="I369" s="19"/>
      <c r="J369" s="19"/>
      <c r="K369" s="1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6">
        <v>44552.0</v>
      </c>
      <c r="B370" s="19"/>
      <c r="C370" s="27" t="str">
        <f>'2021_income'!B370</f>
        <v/>
      </c>
      <c r="D370" s="19"/>
      <c r="E370" s="27"/>
      <c r="F370" s="19">
        <f>-sum(8.61)</f>
        <v>-8.61</v>
      </c>
      <c r="G370" s="27">
        <f>-sum(82.97,40.3)</f>
        <v>-123.27</v>
      </c>
      <c r="H370" s="19"/>
      <c r="I370" s="19"/>
      <c r="J370" s="19"/>
      <c r="K370" s="1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6">
        <v>44553.0</v>
      </c>
      <c r="B371" s="19"/>
      <c r="C371" s="27" t="str">
        <f>'2021_income'!B371</f>
        <v/>
      </c>
      <c r="D371" s="19"/>
      <c r="E371" s="27">
        <v>-43.8</v>
      </c>
      <c r="F371" s="19"/>
      <c r="G371" s="19"/>
      <c r="H371" s="19"/>
      <c r="I371" s="19"/>
      <c r="J371" s="19"/>
      <c r="K371" s="1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6">
        <v>44554.0</v>
      </c>
      <c r="B372" s="19"/>
      <c r="C372" s="27" t="str">
        <f>'2021_income'!B372</f>
        <v/>
      </c>
      <c r="D372" s="19"/>
      <c r="E372" s="19"/>
      <c r="F372" s="19">
        <f>-sum(34.37,86.76,45.55,9,27.49)</f>
        <v>-203.17</v>
      </c>
      <c r="G372" s="27">
        <v>41.0</v>
      </c>
      <c r="H372" s="19"/>
      <c r="I372" s="19"/>
      <c r="J372" s="19"/>
      <c r="K372" s="1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6">
        <v>44555.0</v>
      </c>
      <c r="B373" s="19"/>
      <c r="C373" s="27" t="str">
        <f>'2021_income'!B373</f>
        <v/>
      </c>
      <c r="D373" s="19"/>
      <c r="E373" s="27">
        <v>-1.02</v>
      </c>
      <c r="F373" s="19"/>
      <c r="G373" s="19"/>
      <c r="H373" s="19"/>
      <c r="I373" s="19"/>
      <c r="J373" s="19"/>
      <c r="K373" s="27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6">
        <v>44556.0</v>
      </c>
      <c r="B374" s="19"/>
      <c r="C374" s="27" t="str">
        <f>'2021_income'!B374</f>
        <v/>
      </c>
      <c r="D374" s="19"/>
      <c r="E374" s="19"/>
      <c r="F374" s="19">
        <f>-sum(3.2,15.49,14.91)</f>
        <v>-33.6</v>
      </c>
      <c r="G374" s="19"/>
      <c r="H374" s="19"/>
      <c r="I374" s="19"/>
      <c r="J374" s="19"/>
      <c r="K374" s="1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6">
        <v>44557.0</v>
      </c>
      <c r="B375" s="19"/>
      <c r="C375" s="27" t="str">
        <f>'2021_income'!B375</f>
        <v/>
      </c>
      <c r="D375" s="19"/>
      <c r="E375" s="19"/>
      <c r="F375" s="27">
        <f>-sum(48.85,61.97) </f>
        <v>-110.82</v>
      </c>
      <c r="G375" s="19"/>
      <c r="H375" s="19"/>
      <c r="I375" s="19"/>
      <c r="J375" s="27"/>
      <c r="K375" s="27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6">
        <v>44558.0</v>
      </c>
      <c r="B376" s="19"/>
      <c r="C376" s="27" t="str">
        <f>'2021_income'!B376</f>
        <v/>
      </c>
      <c r="D376" s="19"/>
      <c r="E376" s="27">
        <v>-27.69</v>
      </c>
      <c r="F376" s="19">
        <f>-sum(199,5.3,38.94,58.95,7.92)</f>
        <v>-310.11</v>
      </c>
      <c r="G376" s="19"/>
      <c r="H376" s="19"/>
      <c r="I376" s="27"/>
      <c r="J376" s="27"/>
      <c r="K376" s="1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6">
        <v>44559.0</v>
      </c>
      <c r="B377" s="19"/>
      <c r="C377" s="27" t="str">
        <f>'2021_income'!B377</f>
        <v/>
      </c>
      <c r="D377" s="19"/>
      <c r="E377" s="19"/>
      <c r="F377" s="19">
        <f>-sum(10.5,2.7)</f>
        <v>-13.2</v>
      </c>
      <c r="G377" s="27">
        <f>-sum(64.99,33.5)</f>
        <v>-98.49</v>
      </c>
      <c r="H377" s="19"/>
      <c r="I377" s="19"/>
      <c r="J377" s="19"/>
      <c r="K377" s="27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6">
        <v>44560.0</v>
      </c>
      <c r="B378" s="19"/>
      <c r="C378" s="27" t="str">
        <f>'2021_income'!B378</f>
        <v/>
      </c>
      <c r="D378" s="19"/>
      <c r="E378" s="27">
        <v>-41.9</v>
      </c>
      <c r="F378" s="19">
        <f>-sum(41.08,8.28,64.02)</f>
        <v>-113.38</v>
      </c>
      <c r="G378" s="19"/>
      <c r="H378" s="19"/>
      <c r="I378" s="19"/>
      <c r="J378" s="19"/>
      <c r="K378" s="1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6">
        <v>44561.0</v>
      </c>
      <c r="B379" s="19"/>
      <c r="C379" s="27" t="str">
        <f>'2021_income'!B379</f>
        <v/>
      </c>
      <c r="D379" s="19"/>
      <c r="E379" s="27"/>
      <c r="F379" s="19">
        <f>-sum(4.69,2.5,38,9.95,10.95,12.2,3)</f>
        <v>-81.29</v>
      </c>
      <c r="G379" s="27">
        <v>-41.0</v>
      </c>
      <c r="H379" s="19"/>
      <c r="I379" s="19"/>
      <c r="J379" s="19"/>
      <c r="K379" s="1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6"/>
      <c r="B380" s="19"/>
      <c r="C380" s="19"/>
      <c r="D380" s="19"/>
      <c r="E380" s="19"/>
      <c r="F380" s="19"/>
      <c r="G380" s="19"/>
      <c r="H380" s="19"/>
      <c r="I380" s="19"/>
      <c r="J380" s="27"/>
      <c r="K380" s="1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6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A1004" s="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>
      <c r="A1005" s="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>
      <c r="A1006" s="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>
      <c r="A1007" s="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</row>
    <row r="1008">
      <c r="A1008" s="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>
      <c r="A1009" s="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>
      <c r="A1010" s="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>
      <c r="A1011" s="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  <row r="1012">
      <c r="A1012" s="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</row>
    <row r="1013">
      <c r="A1013" s="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</row>
    <row r="1014">
      <c r="A1014" s="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</row>
  </sheetData>
  <mergeCells count="2">
    <mergeCell ref="N52:N54"/>
    <mergeCell ref="N57:N5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15.88"/>
  </cols>
  <sheetData>
    <row r="1" ht="16.5" customHeight="1">
      <c r="A1" s="7"/>
      <c r="B1" s="34" t="s">
        <v>33</v>
      </c>
      <c r="C1" s="34" t="s">
        <v>13</v>
      </c>
      <c r="D1" s="34" t="s">
        <v>14</v>
      </c>
      <c r="E1" s="34" t="s">
        <v>15</v>
      </c>
      <c r="F1" s="34" t="s">
        <v>16</v>
      </c>
      <c r="G1" s="35"/>
      <c r="H1" s="42" t="s">
        <v>34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/>
      <c r="B2" s="47">
        <f t="shared" ref="B2:B14" si="2">sum(C2:F2)</f>
        <v>91685.03</v>
      </c>
      <c r="C2" s="47">
        <f t="shared" ref="C2:F2" si="1">sum(C3:C1000)</f>
        <v>738.75</v>
      </c>
      <c r="D2" s="47">
        <f t="shared" si="1"/>
        <v>45855.16</v>
      </c>
      <c r="E2" s="47">
        <f t="shared" si="1"/>
        <v>34774.14</v>
      </c>
      <c r="F2" s="47">
        <f t="shared" si="1"/>
        <v>10316.98</v>
      </c>
      <c r="G2" s="35"/>
      <c r="H2" s="43">
        <f>SUM(H3:H1000)</f>
        <v>91685.03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29" t="s">
        <v>17</v>
      </c>
      <c r="B3" s="8">
        <f t="shared" si="2"/>
        <v>4787.32</v>
      </c>
      <c r="C3" s="29">
        <v>147.93</v>
      </c>
      <c r="D3" s="29">
        <f>sum(1160.56,177.57,1455.24,87.22)</f>
        <v>2880.59</v>
      </c>
      <c r="E3" s="29">
        <f>sum(388.96*2)</f>
        <v>777.92</v>
      </c>
      <c r="F3" s="29">
        <f>490.44*2</f>
        <v>980.88</v>
      </c>
      <c r="G3" s="8">
        <f>E6+F3</f>
        <v>3494.23</v>
      </c>
      <c r="H3" s="44">
        <f>SUM(B3,'2021'!M15)</f>
        <v>4787.32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9" t="s">
        <v>29</v>
      </c>
      <c r="B4" s="8">
        <f t="shared" si="2"/>
        <v>5244.63</v>
      </c>
      <c r="C4" s="29">
        <v>129.33</v>
      </c>
      <c r="D4" s="29">
        <f>sum(1248.97,82.36,842.45,79.52)</f>
        <v>2253.3</v>
      </c>
      <c r="E4" s="29">
        <f>sum(767.4,2094.6)</f>
        <v>2862</v>
      </c>
      <c r="F4" s="29"/>
      <c r="G4" s="8"/>
      <c r="H4" s="44">
        <f>SUM(B4,'2021'!M16)</f>
        <v>5244.63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9" t="s">
        <v>19</v>
      </c>
      <c r="B5" s="8">
        <f t="shared" si="2"/>
        <v>6870.83</v>
      </c>
      <c r="C5" s="29">
        <v>97.26</v>
      </c>
      <c r="D5" s="29">
        <f>sum(1305.57,250,79.66,879.46,79.66,843.82)</f>
        <v>3438.17</v>
      </c>
      <c r="E5" s="8">
        <f>sum(1111.8,1111.8,1111.8)</f>
        <v>3335.4</v>
      </c>
      <c r="F5" s="29"/>
      <c r="G5" s="8"/>
      <c r="H5" s="44">
        <f>SUM(B5,'2021'!M17)</f>
        <v>6870.83</v>
      </c>
      <c r="I5" s="8">
        <f>H5+4547.96</f>
        <v>11418.79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9" t="s">
        <v>20</v>
      </c>
      <c r="B6" s="8">
        <f t="shared" si="2"/>
        <v>4899.62</v>
      </c>
      <c r="C6" s="29">
        <v>114.66</v>
      </c>
      <c r="D6" s="29">
        <f>sum(79.66,1103.72,15.07,79.66,993.5)</f>
        <v>2271.61</v>
      </c>
      <c r="E6" s="8">
        <f>sum(1111.8,261.75,1111.8,28)</f>
        <v>2513.35</v>
      </c>
      <c r="F6" s="29"/>
      <c r="G6" s="8"/>
      <c r="H6" s="44">
        <f>SUM(B6,'2021'!M18)</f>
        <v>4899.62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9" t="s">
        <v>21</v>
      </c>
      <c r="B7" s="8">
        <f t="shared" si="2"/>
        <v>5290.61</v>
      </c>
      <c r="C7" s="29">
        <v>92.29</v>
      </c>
      <c r="D7" s="29">
        <f>sum(113.96,1189.68,175.7,1224.99)</f>
        <v>2704.33</v>
      </c>
      <c r="E7" s="29">
        <f>sum(1111.8,200,50,1111.8,20.39)</f>
        <v>2493.99</v>
      </c>
      <c r="F7" s="29"/>
      <c r="G7" s="8"/>
      <c r="H7" s="44">
        <f>SUM(B7,'2021'!M19)</f>
        <v>5290.61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9" t="s">
        <v>22</v>
      </c>
      <c r="B8" s="8">
        <f t="shared" si="2"/>
        <v>2717.1</v>
      </c>
      <c r="C8" s="29">
        <v>114.03</v>
      </c>
      <c r="D8" s="29">
        <f>sum(175.7,848.77,147.64,189.56,11.92,865.9,174.02,189.56)</f>
        <v>2603.07</v>
      </c>
      <c r="E8" s="29"/>
      <c r="F8" s="29"/>
      <c r="G8" s="8"/>
      <c r="H8" s="44">
        <f>SUM(B8,'2021'!M20)</f>
        <v>2717.1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9" t="s">
        <v>23</v>
      </c>
      <c r="B9" s="8">
        <f t="shared" si="2"/>
        <v>9980.34</v>
      </c>
      <c r="C9" s="29">
        <v>43.25</v>
      </c>
      <c r="D9" s="8">
        <f>sum(242.4,982.62,292.05,645.2,450,353.78)</f>
        <v>2966.05</v>
      </c>
      <c r="E9" s="48">
        <f>sum(500,6471.04)</f>
        <v>6971.04</v>
      </c>
      <c r="F9" s="8"/>
      <c r="G9" s="8"/>
      <c r="H9" s="44">
        <f>SUM(B9,'2021'!M21)</f>
        <v>9980.34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9" t="s">
        <v>24</v>
      </c>
      <c r="B10" s="8">
        <f t="shared" si="2"/>
        <v>8090.33</v>
      </c>
      <c r="C10" s="29"/>
      <c r="D10" s="8">
        <f>sum(600,660.18,375,94.69,350,750,861.1,40,750,74.76,750)</f>
        <v>5305.73</v>
      </c>
      <c r="E10" s="48">
        <f>sum(888.8,20,1312.75)</f>
        <v>2221.55</v>
      </c>
      <c r="F10" s="29">
        <v>563.05</v>
      </c>
      <c r="G10" s="8"/>
      <c r="H10" s="44">
        <f>SUM(B10,'2021'!M22)</f>
        <v>8090.33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9" t="s">
        <v>25</v>
      </c>
      <c r="B11" s="8">
        <f t="shared" si="2"/>
        <v>10360.59</v>
      </c>
      <c r="C11" s="29"/>
      <c r="D11" s="29">
        <f>sum(669.77,750,74.76,750,129.94,47.18,450,750,74.76,750,871.2,750,74.76)</f>
        <v>6142.37</v>
      </c>
      <c r="E11" s="29">
        <f>sum(200,1353.09,1539.03)</f>
        <v>3092.12</v>
      </c>
      <c r="F11" s="29">
        <f>sum(563.05,563.05)</f>
        <v>1126.1</v>
      </c>
      <c r="G11" s="8"/>
      <c r="H11" s="44">
        <f>SUM(B11,'2021'!M23)</f>
        <v>10360.59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9" t="s">
        <v>26</v>
      </c>
      <c r="B12" s="8">
        <f t="shared" si="2"/>
        <v>9938.69</v>
      </c>
      <c r="C12" s="29"/>
      <c r="D12" s="8">
        <f>sum(750,873.99,750,750,74.76,1031.1,750)</f>
        <v>4979.85</v>
      </c>
      <c r="E12" s="8">
        <f>sum(20.15,1410.55,40.59,1.5,55,1186.95)</f>
        <v>2714.74</v>
      </c>
      <c r="F12" s="29">
        <f>sum(563.05,1118,563.05)</f>
        <v>2244.1</v>
      </c>
      <c r="G12" s="8"/>
      <c r="H12" s="44">
        <f>SUM(B12,'2021'!M24)</f>
        <v>9938.69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9" t="s">
        <v>27</v>
      </c>
      <c r="B13" s="8">
        <f t="shared" si="2"/>
        <v>12165.04</v>
      </c>
      <c r="C13" s="29"/>
      <c r="D13" s="8">
        <f>sum(74.76,450,750,450,527.4,516.63,74.76,320,971.55)</f>
        <v>4135.1</v>
      </c>
      <c r="E13" s="29">
        <f>sum(1,450,450,1548.19,450,1.5,320,1284.95,104.5)</f>
        <v>4610.14</v>
      </c>
      <c r="F13" s="29">
        <f>sum(998.4,563.05,1190.8,563.05,104.5)</f>
        <v>3419.8</v>
      </c>
      <c r="G13" s="29"/>
      <c r="H13" s="44">
        <f>SUM(B13,'2021'!M25)</f>
        <v>12165.04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9" t="s">
        <v>28</v>
      </c>
      <c r="B14" s="8">
        <f t="shared" si="2"/>
        <v>11339.93</v>
      </c>
      <c r="C14" s="29"/>
      <c r="D14" s="8">
        <f>sum(1131.25,92.7,74.76,792.71,450,250,1131.25,74.76,971.55,1131.25,74.76)</f>
        <v>6174.99</v>
      </c>
      <c r="E14" s="29">
        <f>sum(239.2,1430.75,32.5,1478.4,1.04)</f>
        <v>3181.89</v>
      </c>
      <c r="F14" s="29">
        <f>sum(563.05,563.05,856.95)</f>
        <v>1983.05</v>
      </c>
      <c r="G14" s="8"/>
      <c r="H14" s="44">
        <f>SUM(B14,'2021'!M26)</f>
        <v>11339.93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0" max="10" width="9.13"/>
    <col customWidth="1" min="11" max="11" width="9.88"/>
    <col customWidth="1" min="13" max="13" width="14.13"/>
  </cols>
  <sheetData>
    <row r="1" ht="18.0" customHeight="1">
      <c r="A1" s="8"/>
      <c r="B1" s="49" t="s">
        <v>0</v>
      </c>
      <c r="C1" s="49" t="s">
        <v>35</v>
      </c>
      <c r="D1" s="50" t="s">
        <v>2</v>
      </c>
      <c r="E1" s="49" t="s">
        <v>3</v>
      </c>
      <c r="F1" s="49" t="s">
        <v>4</v>
      </c>
      <c r="G1" s="49" t="s">
        <v>5</v>
      </c>
      <c r="H1" s="49" t="s">
        <v>30</v>
      </c>
      <c r="I1" s="49" t="s">
        <v>8</v>
      </c>
      <c r="J1" s="49" t="s">
        <v>31</v>
      </c>
      <c r="K1" s="49" t="s">
        <v>32</v>
      </c>
      <c r="L1" s="7"/>
      <c r="M1" s="7"/>
      <c r="N1" s="8"/>
      <c r="O1" s="8"/>
      <c r="P1" s="8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8"/>
      <c r="B2" s="51">
        <f>SUM(E2:K2)</f>
        <v>-52363.92</v>
      </c>
      <c r="C2" s="51">
        <f>SUM('2020_income'!B2)</f>
        <v>76938.88</v>
      </c>
      <c r="D2" s="52">
        <f t="shared" ref="D2:D14" si="2">SUM(B2,C2)</f>
        <v>24574.96</v>
      </c>
      <c r="E2" s="51">
        <f t="shared" ref="E2:K2" si="1">SUM(E15:E1014)</f>
        <v>-1856.36</v>
      </c>
      <c r="F2" s="51">
        <f t="shared" si="1"/>
        <v>-19641.63</v>
      </c>
      <c r="G2" s="51">
        <f t="shared" si="1"/>
        <v>-11010.34</v>
      </c>
      <c r="H2" s="51">
        <f t="shared" si="1"/>
        <v>-1296.8</v>
      </c>
      <c r="I2" s="51">
        <f t="shared" si="1"/>
        <v>-9833.97</v>
      </c>
      <c r="J2" s="51">
        <f t="shared" si="1"/>
        <v>-2655.91</v>
      </c>
      <c r="K2" s="51">
        <f t="shared" si="1"/>
        <v>-6068.91</v>
      </c>
      <c r="L2" s="15"/>
      <c r="M2" s="15"/>
      <c r="N2" s="8"/>
      <c r="O2" s="8"/>
      <c r="P2" s="8"/>
      <c r="Q2" s="16"/>
      <c r="R2" s="16"/>
      <c r="S2" s="15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53" t="s">
        <v>36</v>
      </c>
      <c r="B3" s="54">
        <f>sum(E15:K45)</f>
        <v>-2325.08</v>
      </c>
      <c r="C3" s="55">
        <f>'2020_income'!B3</f>
        <v>5800</v>
      </c>
      <c r="D3" s="56">
        <f t="shared" si="2"/>
        <v>3474.92</v>
      </c>
      <c r="E3" s="57">
        <f t="shared" ref="E3:K3" si="3">sum(E15:E45)</f>
        <v>-342.31</v>
      </c>
      <c r="F3" s="57">
        <f t="shared" si="3"/>
        <v>-1629.69</v>
      </c>
      <c r="G3" s="57">
        <f t="shared" si="3"/>
        <v>-251.12</v>
      </c>
      <c r="H3" s="57">
        <f t="shared" si="3"/>
        <v>0</v>
      </c>
      <c r="I3" s="57">
        <f t="shared" si="3"/>
        <v>0</v>
      </c>
      <c r="J3" s="57">
        <f t="shared" si="3"/>
        <v>-101.96</v>
      </c>
      <c r="K3" s="58">
        <f t="shared" si="3"/>
        <v>0</v>
      </c>
      <c r="L3" s="28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53" t="s">
        <v>29</v>
      </c>
      <c r="B4" s="54">
        <f>sum(E46:K73)</f>
        <v>-2238.79</v>
      </c>
      <c r="C4" s="55">
        <f>'2020_income'!B4</f>
        <v>6670.56</v>
      </c>
      <c r="D4" s="56">
        <f t="shared" si="2"/>
        <v>4431.77</v>
      </c>
      <c r="E4" s="57">
        <f t="shared" ref="E4:K4" si="4">sum(E46:E73)</f>
        <v>-150.3</v>
      </c>
      <c r="F4" s="57">
        <f t="shared" si="4"/>
        <v>-1832.62</v>
      </c>
      <c r="G4" s="57">
        <f t="shared" si="4"/>
        <v>-282.23</v>
      </c>
      <c r="H4" s="57">
        <f t="shared" si="4"/>
        <v>0</v>
      </c>
      <c r="I4" s="57">
        <f t="shared" si="4"/>
        <v>0</v>
      </c>
      <c r="J4" s="57">
        <f t="shared" si="4"/>
        <v>-16.5</v>
      </c>
      <c r="K4" s="58">
        <f t="shared" si="4"/>
        <v>42.86</v>
      </c>
      <c r="L4" s="28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53" t="s">
        <v>37</v>
      </c>
      <c r="B5" s="54">
        <f>sum(E74:K104)</f>
        <v>-7341.57</v>
      </c>
      <c r="C5" s="55">
        <f>'2020_income'!B5</f>
        <v>6975.52</v>
      </c>
      <c r="D5" s="56">
        <f t="shared" si="2"/>
        <v>-366.05</v>
      </c>
      <c r="E5" s="57">
        <f t="shared" ref="E5:K5" si="5">sum(E74:E104)</f>
        <v>-197.97</v>
      </c>
      <c r="F5" s="57">
        <f t="shared" si="5"/>
        <v>-1361.66</v>
      </c>
      <c r="G5" s="57">
        <f t="shared" si="5"/>
        <v>-751.87</v>
      </c>
      <c r="H5" s="57">
        <f t="shared" si="5"/>
        <v>0</v>
      </c>
      <c r="I5" s="57">
        <f t="shared" si="5"/>
        <v>-4914.08</v>
      </c>
      <c r="J5" s="57">
        <f t="shared" si="5"/>
        <v>-115.99</v>
      </c>
      <c r="K5" s="58">
        <f t="shared" si="5"/>
        <v>0</v>
      </c>
      <c r="L5" s="28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53" t="s">
        <v>38</v>
      </c>
      <c r="B6" s="54">
        <f>sum(E105:K134)</f>
        <v>-2233.24</v>
      </c>
      <c r="C6" s="55">
        <f>'2020_income'!B6</f>
        <v>5752.06</v>
      </c>
      <c r="D6" s="56">
        <f t="shared" si="2"/>
        <v>3518.82</v>
      </c>
      <c r="E6" s="57">
        <f t="shared" ref="E6:K6" si="6">sum(E105:E134)</f>
        <v>-124.18</v>
      </c>
      <c r="F6" s="57">
        <f t="shared" si="6"/>
        <v>-1389.1</v>
      </c>
      <c r="G6" s="57">
        <f t="shared" si="6"/>
        <v>-548.66</v>
      </c>
      <c r="H6" s="57">
        <f t="shared" si="6"/>
        <v>0</v>
      </c>
      <c r="I6" s="57">
        <f t="shared" si="6"/>
        <v>0</v>
      </c>
      <c r="J6" s="57">
        <f t="shared" si="6"/>
        <v>-141.55</v>
      </c>
      <c r="K6" s="58">
        <f t="shared" si="6"/>
        <v>-29.75</v>
      </c>
      <c r="L6" s="28"/>
      <c r="M6" s="2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53" t="s">
        <v>39</v>
      </c>
      <c r="B7" s="54">
        <f>sum(E135:K165)</f>
        <v>-4347.43</v>
      </c>
      <c r="C7" s="55">
        <f>'2020_income'!B7</f>
        <v>4718.97</v>
      </c>
      <c r="D7" s="56">
        <f t="shared" si="2"/>
        <v>371.54</v>
      </c>
      <c r="E7" s="57">
        <f t="shared" ref="E7:K7" si="7">sum(E135:E165)</f>
        <v>-160.58</v>
      </c>
      <c r="F7" s="57">
        <f t="shared" si="7"/>
        <v>-939.2</v>
      </c>
      <c r="G7" s="57">
        <f t="shared" si="7"/>
        <v>-35</v>
      </c>
      <c r="H7" s="57">
        <f t="shared" si="7"/>
        <v>-175</v>
      </c>
      <c r="I7" s="57">
        <f t="shared" si="7"/>
        <v>0</v>
      </c>
      <c r="J7" s="57">
        <f t="shared" si="7"/>
        <v>-501.43</v>
      </c>
      <c r="K7" s="58">
        <f t="shared" si="7"/>
        <v>-2536.22</v>
      </c>
      <c r="L7" s="28"/>
      <c r="M7" s="2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53" t="s">
        <v>40</v>
      </c>
      <c r="B8" s="54">
        <f>sum(E166:K195)</f>
        <v>-2016.81</v>
      </c>
      <c r="C8" s="55">
        <f>'2020_income'!B8</f>
        <v>6233.97</v>
      </c>
      <c r="D8" s="56">
        <f t="shared" si="2"/>
        <v>4217.16</v>
      </c>
      <c r="E8" s="57">
        <f t="shared" ref="E8:K8" si="8">sum(E166:E195)</f>
        <v>-129.27</v>
      </c>
      <c r="F8" s="57">
        <f t="shared" si="8"/>
        <v>-1260.15</v>
      </c>
      <c r="G8" s="57">
        <f t="shared" si="8"/>
        <v>-40.95</v>
      </c>
      <c r="H8" s="57">
        <f t="shared" si="8"/>
        <v>-414</v>
      </c>
      <c r="I8" s="57">
        <f t="shared" si="8"/>
        <v>0</v>
      </c>
      <c r="J8" s="57">
        <f t="shared" si="8"/>
        <v>-72</v>
      </c>
      <c r="K8" s="58">
        <f t="shared" si="8"/>
        <v>-100.44</v>
      </c>
      <c r="L8" s="28"/>
      <c r="M8" s="2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53" t="s">
        <v>41</v>
      </c>
      <c r="B9" s="54">
        <f>sum(E196:K226)</f>
        <v>-4377.55</v>
      </c>
      <c r="C9" s="55">
        <f>'2020_income'!B9</f>
        <v>14377.38</v>
      </c>
      <c r="D9" s="56">
        <f t="shared" si="2"/>
        <v>9999.83</v>
      </c>
      <c r="E9" s="57">
        <f t="shared" ref="E9:K9" si="9">sum(E196:E226)</f>
        <v>-188.27</v>
      </c>
      <c r="F9" s="57">
        <f t="shared" si="9"/>
        <v>-3439.04</v>
      </c>
      <c r="G9" s="57">
        <f t="shared" si="9"/>
        <v>-666.9</v>
      </c>
      <c r="H9" s="57">
        <f t="shared" si="9"/>
        <v>-20.51</v>
      </c>
      <c r="I9" s="57">
        <f t="shared" si="9"/>
        <v>0</v>
      </c>
      <c r="J9" s="57">
        <f t="shared" si="9"/>
        <v>0</v>
      </c>
      <c r="K9" s="58">
        <f t="shared" si="9"/>
        <v>-62.83</v>
      </c>
      <c r="L9" s="28"/>
      <c r="M9" s="2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53" t="s">
        <v>42</v>
      </c>
      <c r="B10" s="54">
        <f>sum(E227:K257)</f>
        <v>-8208.13</v>
      </c>
      <c r="C10" s="55">
        <f>'2020_income'!B10</f>
        <v>4898.3</v>
      </c>
      <c r="D10" s="56">
        <f t="shared" si="2"/>
        <v>-3309.83</v>
      </c>
      <c r="E10" s="57">
        <f t="shared" ref="E10:K10" si="10">sum(E227:E257)</f>
        <v>-5.59</v>
      </c>
      <c r="F10" s="57">
        <f t="shared" si="10"/>
        <v>-1863.64</v>
      </c>
      <c r="G10" s="57">
        <f t="shared" si="10"/>
        <v>-1270</v>
      </c>
      <c r="H10" s="57">
        <f t="shared" si="10"/>
        <v>0</v>
      </c>
      <c r="I10" s="57">
        <f t="shared" si="10"/>
        <v>-4875.4</v>
      </c>
      <c r="J10" s="57">
        <f t="shared" si="10"/>
        <v>-86.68</v>
      </c>
      <c r="K10" s="58">
        <f t="shared" si="10"/>
        <v>-106.82</v>
      </c>
      <c r="L10" s="28"/>
      <c r="M10" s="2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53" t="s">
        <v>43</v>
      </c>
      <c r="B11" s="54">
        <f>sum(E258:K287)</f>
        <v>-4292.02</v>
      </c>
      <c r="C11" s="55">
        <f>'2020_income'!B11</f>
        <v>7877.6</v>
      </c>
      <c r="D11" s="56">
        <f t="shared" si="2"/>
        <v>3585.58</v>
      </c>
      <c r="E11" s="57">
        <f t="shared" ref="E11:K11" si="11">sum(E258:E287)</f>
        <v>-97.79</v>
      </c>
      <c r="F11" s="57">
        <f t="shared" si="11"/>
        <v>-1584.54</v>
      </c>
      <c r="G11" s="57">
        <f t="shared" si="11"/>
        <v>-1972.5</v>
      </c>
      <c r="H11" s="57">
        <f t="shared" si="11"/>
        <v>0</v>
      </c>
      <c r="I11" s="57">
        <f t="shared" si="11"/>
        <v>0</v>
      </c>
      <c r="J11" s="57">
        <f t="shared" si="11"/>
        <v>-82</v>
      </c>
      <c r="K11" s="58">
        <f t="shared" si="11"/>
        <v>-555.19</v>
      </c>
      <c r="L11" s="28"/>
      <c r="M11" s="2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53" t="s">
        <v>44</v>
      </c>
      <c r="B12" s="54">
        <f>sum(E288:K318)</f>
        <v>-2926.93</v>
      </c>
      <c r="C12" s="55">
        <f>'2020_income'!B12</f>
        <v>2847.19</v>
      </c>
      <c r="D12" s="56">
        <f t="shared" si="2"/>
        <v>-79.74</v>
      </c>
      <c r="E12" s="57">
        <f t="shared" ref="E12:K12" si="12">sum(E288:E318)</f>
        <v>-39.14</v>
      </c>
      <c r="F12" s="57">
        <f t="shared" si="12"/>
        <v>-1182.75</v>
      </c>
      <c r="G12" s="57">
        <f t="shared" si="12"/>
        <v>-1428.28</v>
      </c>
      <c r="H12" s="57">
        <f t="shared" si="12"/>
        <v>0</v>
      </c>
      <c r="I12" s="57">
        <f t="shared" si="12"/>
        <v>0</v>
      </c>
      <c r="J12" s="57">
        <f t="shared" si="12"/>
        <v>-69.47</v>
      </c>
      <c r="K12" s="58">
        <f t="shared" si="12"/>
        <v>-207.29</v>
      </c>
      <c r="L12" s="28"/>
      <c r="M12" s="2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53" t="s">
        <v>45</v>
      </c>
      <c r="B13" s="54">
        <f>sum(E319:K348)</f>
        <v>-7533.37</v>
      </c>
      <c r="C13" s="55">
        <f>'2020_income'!B13</f>
        <v>4917.39</v>
      </c>
      <c r="D13" s="56">
        <f t="shared" si="2"/>
        <v>-2615.98</v>
      </c>
      <c r="E13" s="57">
        <f t="shared" ref="E13:K13" si="13">sum(E319:E348)</f>
        <v>-203.62</v>
      </c>
      <c r="F13" s="57">
        <f t="shared" si="13"/>
        <v>-1565.78</v>
      </c>
      <c r="G13" s="57">
        <f t="shared" si="13"/>
        <v>-2014.1</v>
      </c>
      <c r="H13" s="57">
        <f t="shared" si="13"/>
        <v>-687.29</v>
      </c>
      <c r="I13" s="57">
        <f t="shared" si="13"/>
        <v>0</v>
      </c>
      <c r="J13" s="57">
        <f t="shared" si="13"/>
        <v>-1059.02</v>
      </c>
      <c r="K13" s="58">
        <f t="shared" si="13"/>
        <v>-2003.56</v>
      </c>
      <c r="L13" s="28"/>
      <c r="M13" s="2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59" t="s">
        <v>46</v>
      </c>
      <c r="B14" s="60">
        <f>sum(E349:K379)</f>
        <v>-4424.19</v>
      </c>
      <c r="C14" s="55">
        <f>'2020_income'!B14</f>
        <v>5869.94</v>
      </c>
      <c r="D14" s="61">
        <f t="shared" si="2"/>
        <v>1445.75</v>
      </c>
      <c r="E14" s="62">
        <f t="shared" ref="E14:K14" si="14">sum(E349:E379)</f>
        <v>-217.34</v>
      </c>
      <c r="F14" s="62">
        <f t="shared" si="14"/>
        <v>-1535.65</v>
      </c>
      <c r="G14" s="62">
        <f t="shared" si="14"/>
        <v>-1748.73</v>
      </c>
      <c r="H14" s="62">
        <f t="shared" si="14"/>
        <v>0</v>
      </c>
      <c r="I14" s="62">
        <f t="shared" si="14"/>
        <v>-44.49</v>
      </c>
      <c r="J14" s="62">
        <f t="shared" si="14"/>
        <v>-368.31</v>
      </c>
      <c r="K14" s="63">
        <f t="shared" si="14"/>
        <v>-509.67</v>
      </c>
      <c r="L14" s="28"/>
      <c r="M14" s="2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26">
        <v>43831.0</v>
      </c>
      <c r="B15" s="57"/>
      <c r="C15" s="64"/>
      <c r="D15" s="57"/>
      <c r="E15" s="57"/>
      <c r="F15" s="57"/>
      <c r="G15" s="57"/>
      <c r="H15" s="57"/>
      <c r="I15" s="57"/>
      <c r="J15" s="57"/>
      <c r="K15" s="57"/>
      <c r="L15" s="28"/>
      <c r="M15" s="2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26">
        <v>43832.0</v>
      </c>
      <c r="B16" s="57"/>
      <c r="C16" s="64"/>
      <c r="D16" s="57"/>
      <c r="E16" s="57"/>
      <c r="F16" s="57">
        <f>-sum(4.25,10,1.4,68,1,23.5,5,12.15,12.72,35.95)</f>
        <v>-173.97</v>
      </c>
      <c r="G16" s="57"/>
      <c r="H16" s="57"/>
      <c r="I16" s="57"/>
      <c r="J16" s="57"/>
      <c r="K16" s="57"/>
      <c r="L16" s="28"/>
      <c r="M16" s="2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26">
        <v>43833.0</v>
      </c>
      <c r="B17" s="64"/>
      <c r="C17" s="57"/>
      <c r="D17" s="57"/>
      <c r="E17" s="64"/>
      <c r="F17" s="57"/>
      <c r="G17" s="57"/>
      <c r="H17" s="57"/>
      <c r="I17" s="57"/>
      <c r="J17" s="57"/>
      <c r="K17" s="57"/>
      <c r="L17" s="28"/>
      <c r="M17" s="21"/>
      <c r="N17" s="2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26">
        <v>43834.0</v>
      </c>
      <c r="B18" s="64"/>
      <c r="C18" s="57"/>
      <c r="D18" s="57"/>
      <c r="E18" s="64">
        <v>-10.0</v>
      </c>
      <c r="F18" s="64">
        <v>-7.5</v>
      </c>
      <c r="G18" s="64"/>
      <c r="H18" s="57"/>
      <c r="I18" s="57"/>
      <c r="J18" s="57"/>
      <c r="K18" s="57"/>
      <c r="L18" s="28"/>
      <c r="M18" s="21"/>
      <c r="N18" s="2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26">
        <v>43835.0</v>
      </c>
      <c r="B19" s="64"/>
      <c r="C19" s="57"/>
      <c r="D19" s="57"/>
      <c r="E19" s="64">
        <f>-sum(7.5,13.32)</f>
        <v>-20.82</v>
      </c>
      <c r="F19" s="64">
        <f>sum(-153.62,27.42,41.3)</f>
        <v>-84.9</v>
      </c>
      <c r="G19" s="64"/>
      <c r="H19" s="57"/>
      <c r="I19" s="57"/>
      <c r="J19" s="57"/>
      <c r="K19" s="57"/>
      <c r="L19" s="28"/>
      <c r="M19" s="21"/>
      <c r="N19" s="29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26">
        <v>43836.0</v>
      </c>
      <c r="B20" s="64"/>
      <c r="C20" s="57"/>
      <c r="D20" s="57"/>
      <c r="E20" s="64">
        <v>-47.27</v>
      </c>
      <c r="F20" s="57">
        <f>-sum(11.4,8)</f>
        <v>-19.4</v>
      </c>
      <c r="G20" s="57"/>
      <c r="H20" s="64"/>
      <c r="I20" s="57"/>
      <c r="J20" s="57"/>
      <c r="K20" s="57"/>
      <c r="L20" s="28"/>
      <c r="M20" s="21"/>
      <c r="N20" s="2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26">
        <v>43837.0</v>
      </c>
      <c r="B21" s="64"/>
      <c r="C21" s="57"/>
      <c r="D21" s="57"/>
      <c r="E21" s="64">
        <v>-5.0</v>
      </c>
      <c r="F21" s="57">
        <f>-sum(8.6,23.4,35.93,9)</f>
        <v>-76.93</v>
      </c>
      <c r="G21" s="57"/>
      <c r="H21" s="57"/>
      <c r="I21" s="57"/>
      <c r="J21" s="57"/>
      <c r="K21" s="57"/>
      <c r="L21" s="28"/>
      <c r="M21" s="21"/>
      <c r="N21" s="29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26">
        <v>43838.0</v>
      </c>
      <c r="B22" s="64"/>
      <c r="C22" s="57"/>
      <c r="D22" s="57"/>
      <c r="E22" s="64">
        <v>-37.48</v>
      </c>
      <c r="F22" s="64"/>
      <c r="G22" s="64"/>
      <c r="H22" s="57"/>
      <c r="I22" s="57"/>
      <c r="J22" s="57"/>
      <c r="K22" s="57"/>
      <c r="L22" s="28"/>
      <c r="M22" s="21"/>
      <c r="N22" s="29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26">
        <v>43839.0</v>
      </c>
      <c r="B23" s="64"/>
      <c r="C23" s="57"/>
      <c r="D23" s="57"/>
      <c r="E23" s="64">
        <v>-5.83</v>
      </c>
      <c r="F23" s="64">
        <v>-55.0</v>
      </c>
      <c r="G23" s="64">
        <v>-175.59</v>
      </c>
      <c r="H23" s="57"/>
      <c r="I23" s="57"/>
      <c r="J23" s="57"/>
      <c r="K23" s="57"/>
      <c r="L23" s="28"/>
      <c r="M23" s="21"/>
      <c r="N23" s="2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26">
        <v>43840.0</v>
      </c>
      <c r="B24" s="64"/>
      <c r="C24" s="57"/>
      <c r="D24" s="57"/>
      <c r="E24" s="64">
        <f>-sum(43.51,1.4,32)</f>
        <v>-76.91</v>
      </c>
      <c r="F24" s="64">
        <f>-sum(20.5,37.8)</f>
        <v>-58.3</v>
      </c>
      <c r="G24" s="64">
        <v>-75.53</v>
      </c>
      <c r="H24" s="57"/>
      <c r="I24" s="57"/>
      <c r="J24" s="57"/>
      <c r="K24" s="57"/>
      <c r="L24" s="28"/>
      <c r="M24" s="21"/>
      <c r="N24" s="2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26">
        <v>43841.0</v>
      </c>
      <c r="B25" s="64"/>
      <c r="C25" s="57"/>
      <c r="D25" s="57"/>
      <c r="E25" s="64">
        <v>-47.31</v>
      </c>
      <c r="F25" s="64">
        <f>-sum(45.25,4,2.3)</f>
        <v>-51.55</v>
      </c>
      <c r="G25" s="57"/>
      <c r="H25" s="57"/>
      <c r="I25" s="57"/>
      <c r="J25" s="57"/>
      <c r="K25" s="57"/>
      <c r="L25" s="28"/>
      <c r="M25" s="21"/>
      <c r="N25" s="29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9.5" customHeight="1">
      <c r="A26" s="26">
        <v>43842.0</v>
      </c>
      <c r="B26" s="64"/>
      <c r="C26" s="57"/>
      <c r="D26" s="57"/>
      <c r="E26" s="57"/>
      <c r="F26" s="64">
        <f>-sum(10.69,4.99)</f>
        <v>-15.68</v>
      </c>
      <c r="G26" s="64"/>
      <c r="H26" s="57"/>
      <c r="I26" s="57"/>
      <c r="J26" s="57"/>
      <c r="K26" s="57"/>
      <c r="L26" s="28"/>
      <c r="M26" s="21"/>
      <c r="N26" s="29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9.5" hidden="1" customHeight="1">
      <c r="A27" s="26">
        <v>43843.0</v>
      </c>
      <c r="B27" s="64"/>
      <c r="C27" s="57"/>
      <c r="D27" s="57"/>
      <c r="E27" s="57"/>
      <c r="F27" s="64">
        <f>-sum(63.99,16.5,19.5,24.85)</f>
        <v>-124.84</v>
      </c>
      <c r="G27" s="64"/>
      <c r="H27" s="57"/>
      <c r="I27" s="57"/>
      <c r="J27" s="57"/>
      <c r="K27" s="57"/>
      <c r="L27" s="30"/>
      <c r="M27" s="30"/>
      <c r="N27" s="29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9.5" hidden="1" customHeight="1">
      <c r="A28" s="26">
        <v>43844.0</v>
      </c>
      <c r="B28" s="64"/>
      <c r="C28" s="57"/>
      <c r="D28" s="57"/>
      <c r="E28" s="57"/>
      <c r="F28" s="64">
        <f>-sum(36.08,3,31.5,2.2,42.86)</f>
        <v>-115.64</v>
      </c>
      <c r="G28" s="64"/>
      <c r="H28" s="57"/>
      <c r="I28" s="57"/>
      <c r="J28" s="57"/>
      <c r="K28" s="57"/>
      <c r="L28" s="30"/>
      <c r="M28" s="30"/>
      <c r="N28" s="2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9.5" hidden="1" customHeight="1">
      <c r="A29" s="26">
        <v>43845.0</v>
      </c>
      <c r="B29" s="64"/>
      <c r="C29" s="57"/>
      <c r="D29" s="57"/>
      <c r="E29" s="57"/>
      <c r="F29" s="64">
        <f>-sum(30.2,21.29)</f>
        <v>-51.49</v>
      </c>
      <c r="G29" s="64"/>
      <c r="H29" s="57"/>
      <c r="I29" s="57"/>
      <c r="J29" s="57"/>
      <c r="K29" s="57"/>
      <c r="L29" s="30"/>
      <c r="M29" s="30"/>
      <c r="N29" s="29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9.5" hidden="1" customHeight="1">
      <c r="A30" s="26">
        <v>43846.0</v>
      </c>
      <c r="B30" s="64"/>
      <c r="C30" s="57"/>
      <c r="D30" s="57"/>
      <c r="E30" s="57"/>
      <c r="F30" s="64">
        <f>-sum(11.3,17.98,27.43,37.45)</f>
        <v>-94.16</v>
      </c>
      <c r="G30" s="64"/>
      <c r="H30" s="57"/>
      <c r="I30" s="57"/>
      <c r="J30" s="57"/>
      <c r="K30" s="57"/>
      <c r="L30" s="30"/>
      <c r="M30" s="30"/>
      <c r="N30" s="29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9.5" hidden="1" customHeight="1">
      <c r="A31" s="26">
        <v>43847.0</v>
      </c>
      <c r="B31" s="64"/>
      <c r="C31" s="57"/>
      <c r="D31" s="57"/>
      <c r="E31" s="57"/>
      <c r="F31" s="57">
        <f>-sum(43.11,20.95,29.8)</f>
        <v>-93.86</v>
      </c>
      <c r="G31" s="57"/>
      <c r="H31" s="57"/>
      <c r="I31" s="57"/>
      <c r="J31" s="64"/>
      <c r="K31" s="64"/>
      <c r="L31" s="30"/>
      <c r="M31" s="30"/>
      <c r="N31" s="29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9.5" hidden="1" customHeight="1">
      <c r="A32" s="26">
        <v>43848.0</v>
      </c>
      <c r="B32" s="57"/>
      <c r="C32" s="64"/>
      <c r="D32" s="51"/>
      <c r="E32" s="57"/>
      <c r="F32" s="57">
        <f>-sum(21.89,2.8,20)</f>
        <v>-44.69</v>
      </c>
      <c r="G32" s="57"/>
      <c r="H32" s="57"/>
      <c r="I32" s="57"/>
      <c r="J32" s="57"/>
      <c r="K32" s="57"/>
      <c r="L32" s="30"/>
      <c r="M32" s="30"/>
      <c r="N32" s="29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9.5" hidden="1" customHeight="1">
      <c r="A33" s="26">
        <v>43849.0</v>
      </c>
      <c r="B33" s="64"/>
      <c r="C33" s="57"/>
      <c r="D33" s="57"/>
      <c r="E33" s="64"/>
      <c r="F33" s="57"/>
      <c r="G33" s="57"/>
      <c r="H33" s="57"/>
      <c r="I33" s="57"/>
      <c r="J33" s="57"/>
      <c r="K33" s="57"/>
      <c r="L33" s="30"/>
      <c r="M33" s="30"/>
      <c r="N33" s="29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9.5" hidden="1" customHeight="1">
      <c r="A34" s="26">
        <v>43850.0</v>
      </c>
      <c r="B34" s="64"/>
      <c r="C34" s="57"/>
      <c r="D34" s="57"/>
      <c r="E34" s="57"/>
      <c r="F34" s="64">
        <f>-sum(7,2.99,2.8,13.45)</f>
        <v>-26.24</v>
      </c>
      <c r="G34" s="64"/>
      <c r="H34" s="57"/>
      <c r="I34" s="57"/>
      <c r="J34" s="64">
        <v>-101.96</v>
      </c>
      <c r="K34" s="57"/>
      <c r="L34" s="30"/>
      <c r="M34" s="30"/>
      <c r="N34" s="29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9.5" hidden="1" customHeight="1">
      <c r="A35" s="26">
        <v>43851.0</v>
      </c>
      <c r="B35" s="64"/>
      <c r="C35" s="57"/>
      <c r="D35" s="57"/>
      <c r="E35" s="57"/>
      <c r="F35" s="64">
        <f>-sum(5.45,7.5,21.45)</f>
        <v>-34.4</v>
      </c>
      <c r="G35" s="64"/>
      <c r="H35" s="57"/>
      <c r="I35" s="57"/>
      <c r="J35" s="57"/>
      <c r="K35" s="57"/>
      <c r="L35" s="30"/>
      <c r="M35" s="30"/>
      <c r="N35" s="29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9.5" hidden="1" customHeight="1">
      <c r="A36" s="26">
        <v>43852.0</v>
      </c>
      <c r="B36" s="64"/>
      <c r="C36" s="57"/>
      <c r="D36" s="57"/>
      <c r="E36" s="57"/>
      <c r="F36" s="64">
        <f>-sum(16.9,4.2)</f>
        <v>-21.1</v>
      </c>
      <c r="G36" s="64"/>
      <c r="H36" s="57"/>
      <c r="I36" s="57"/>
      <c r="J36" s="57"/>
      <c r="K36" s="57"/>
      <c r="L36" s="30"/>
      <c r="M36" s="30"/>
      <c r="N36" s="29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9.5" hidden="1" customHeight="1">
      <c r="A37" s="26">
        <v>43853.0</v>
      </c>
      <c r="B37" s="64"/>
      <c r="C37" s="57"/>
      <c r="D37" s="57"/>
      <c r="E37" s="64"/>
      <c r="F37" s="57">
        <f>-sum(6,7.5,29.5)</f>
        <v>-43</v>
      </c>
      <c r="G37" s="57"/>
      <c r="H37" s="57"/>
      <c r="I37" s="57"/>
      <c r="J37" s="57"/>
      <c r="K37" s="57"/>
      <c r="L37" s="30"/>
      <c r="M37" s="30"/>
      <c r="N37" s="29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9.5" hidden="1" customHeight="1">
      <c r="A38" s="26">
        <v>43854.0</v>
      </c>
      <c r="B38" s="64"/>
      <c r="C38" s="57"/>
      <c r="D38" s="57"/>
      <c r="E38" s="57"/>
      <c r="F38" s="64">
        <v>-30.0</v>
      </c>
      <c r="G38" s="64"/>
      <c r="H38" s="57"/>
      <c r="I38" s="57"/>
      <c r="J38" s="57"/>
      <c r="K38" s="57"/>
      <c r="L38" s="30"/>
      <c r="M38" s="30"/>
      <c r="N38" s="29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9.5" hidden="1" customHeight="1">
      <c r="A39" s="26">
        <v>43855.0</v>
      </c>
      <c r="B39" s="64"/>
      <c r="C39" s="57"/>
      <c r="D39" s="57"/>
      <c r="E39" s="64">
        <v>-39.3</v>
      </c>
      <c r="F39" s="64">
        <f>-sum(9.1,22.47,48.2,3.75,2.8,6.37)</f>
        <v>-92.69</v>
      </c>
      <c r="G39" s="64"/>
      <c r="H39" s="57"/>
      <c r="I39" s="57"/>
      <c r="J39" s="57"/>
      <c r="K39" s="57"/>
      <c r="L39" s="30"/>
      <c r="M39" s="30"/>
      <c r="N39" s="2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9.5" hidden="1" customHeight="1">
      <c r="A40" s="26">
        <v>43856.0</v>
      </c>
      <c r="B40" s="64"/>
      <c r="C40" s="57"/>
      <c r="D40" s="57"/>
      <c r="E40" s="64">
        <v>-20.0</v>
      </c>
      <c r="F40" s="64"/>
      <c r="G40" s="64"/>
      <c r="H40" s="57"/>
      <c r="I40" s="57"/>
      <c r="J40" s="57"/>
      <c r="K40" s="57"/>
      <c r="L40" s="30"/>
      <c r="M40" s="30"/>
      <c r="N40" s="29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9.5" hidden="1" customHeight="1">
      <c r="A41" s="26">
        <v>43857.0</v>
      </c>
      <c r="B41" s="64"/>
      <c r="C41" s="57"/>
      <c r="D41" s="57"/>
      <c r="E41" s="57"/>
      <c r="F41" s="64">
        <v>-21.0</v>
      </c>
      <c r="G41" s="64"/>
      <c r="H41" s="57"/>
      <c r="I41" s="57"/>
      <c r="J41" s="57"/>
      <c r="K41" s="57"/>
      <c r="L41" s="30"/>
      <c r="M41" s="30"/>
      <c r="N41" s="29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9.5" hidden="1" customHeight="1">
      <c r="A42" s="26">
        <v>43858.0</v>
      </c>
      <c r="B42" s="64"/>
      <c r="C42" s="57"/>
      <c r="D42" s="57"/>
      <c r="E42" s="57"/>
      <c r="F42" s="64">
        <f>-sum(18.91,3,2,42.89,23.3,166.5,24.1)</f>
        <v>-280.7</v>
      </c>
      <c r="G42" s="57"/>
      <c r="H42" s="57"/>
      <c r="I42" s="64"/>
      <c r="J42" s="57"/>
      <c r="K42" s="57"/>
      <c r="L42" s="30"/>
      <c r="M42" s="30"/>
      <c r="N42" s="29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9.5" hidden="1" customHeight="1">
      <c r="A43" s="26">
        <v>43859.0</v>
      </c>
      <c r="B43" s="64"/>
      <c r="C43" s="57"/>
      <c r="D43" s="57"/>
      <c r="E43" s="57"/>
      <c r="F43" s="64">
        <f>-sum(8,4.65)</f>
        <v>-12.65</v>
      </c>
      <c r="G43" s="64"/>
      <c r="H43" s="57"/>
      <c r="I43" s="57"/>
      <c r="J43" s="57"/>
      <c r="K43" s="57"/>
      <c r="L43" s="30"/>
      <c r="M43" s="30"/>
      <c r="N43" s="29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9.5" hidden="1" customHeight="1">
      <c r="A44" s="26">
        <v>43860.0</v>
      </c>
      <c r="B44" s="64"/>
      <c r="C44" s="57"/>
      <c r="D44" s="57"/>
      <c r="E44" s="64"/>
      <c r="F44" s="57"/>
      <c r="G44" s="57"/>
      <c r="H44" s="57"/>
      <c r="I44" s="57"/>
      <c r="J44" s="57"/>
      <c r="K44" s="57"/>
      <c r="L44" s="30"/>
      <c r="M44" s="30"/>
      <c r="N44" s="29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9.5" hidden="1" customHeight="1">
      <c r="A45" s="26">
        <v>43861.0</v>
      </c>
      <c r="B45" s="64"/>
      <c r="C45" s="57"/>
      <c r="D45" s="57"/>
      <c r="E45" s="64">
        <v>-32.39</v>
      </c>
      <c r="F45" s="57"/>
      <c r="G45" s="57"/>
      <c r="H45" s="57"/>
      <c r="I45" s="64"/>
      <c r="J45" s="57"/>
      <c r="K45" s="57"/>
      <c r="L45" s="30"/>
      <c r="M45" s="30"/>
      <c r="N45" s="29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9.5" hidden="1" customHeight="1">
      <c r="A46" s="26">
        <v>43862.0</v>
      </c>
      <c r="B46" s="64"/>
      <c r="C46" s="57"/>
      <c r="D46" s="57"/>
      <c r="E46" s="57"/>
      <c r="F46" s="64">
        <f>-sum(2.8,6,5.6,4.72,4.99)</f>
        <v>-24.11</v>
      </c>
      <c r="G46" s="64"/>
      <c r="H46" s="57"/>
      <c r="I46" s="57"/>
      <c r="J46" s="57"/>
      <c r="K46" s="57"/>
      <c r="L46" s="30"/>
      <c r="M46" s="3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9.5" hidden="1" customHeight="1">
      <c r="A47" s="26">
        <v>43863.0</v>
      </c>
      <c r="B47" s="64"/>
      <c r="C47" s="57"/>
      <c r="D47" s="57"/>
      <c r="E47" s="57"/>
      <c r="F47" s="64">
        <v>-25.35</v>
      </c>
      <c r="G47" s="64"/>
      <c r="H47" s="57"/>
      <c r="I47" s="57"/>
      <c r="J47" s="57"/>
      <c r="K47" s="57"/>
      <c r="L47" s="30"/>
      <c r="M47" s="3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9.5" hidden="1" customHeight="1">
      <c r="A48" s="26">
        <v>43864.0</v>
      </c>
      <c r="B48" s="64"/>
      <c r="C48" s="57"/>
      <c r="D48" s="57"/>
      <c r="E48" s="57"/>
      <c r="F48" s="64">
        <v>-76.7</v>
      </c>
      <c r="G48" s="57"/>
      <c r="H48" s="64"/>
      <c r="I48" s="57"/>
      <c r="J48" s="57"/>
      <c r="K48" s="57"/>
      <c r="L48" s="30"/>
      <c r="M48" s="30"/>
      <c r="N48" s="2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9.5" hidden="1" customHeight="1">
      <c r="A49" s="26">
        <v>43865.0</v>
      </c>
      <c r="B49" s="64"/>
      <c r="C49" s="57"/>
      <c r="D49" s="57"/>
      <c r="E49" s="64">
        <v>-23.92</v>
      </c>
      <c r="F49" s="64">
        <f>-sum(72.48,3.7)</f>
        <v>-76.18</v>
      </c>
      <c r="G49" s="64"/>
      <c r="H49" s="57"/>
      <c r="I49" s="57"/>
      <c r="J49" s="57"/>
      <c r="K49" s="57"/>
      <c r="L49" s="30"/>
      <c r="M49" s="30"/>
      <c r="N49" s="2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9.5" hidden="1" customHeight="1">
      <c r="A50" s="26">
        <v>43866.0</v>
      </c>
      <c r="B50" s="64"/>
      <c r="C50" s="57"/>
      <c r="D50" s="57"/>
      <c r="E50" s="64"/>
      <c r="F50" s="64">
        <v>-19.2</v>
      </c>
      <c r="G50" s="57"/>
      <c r="H50" s="57"/>
      <c r="I50" s="57"/>
      <c r="J50" s="57"/>
      <c r="K50" s="57"/>
      <c r="L50" s="30"/>
      <c r="M50" s="30"/>
      <c r="N50" s="2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9.5" hidden="1" customHeight="1">
      <c r="A51" s="26">
        <v>43867.0</v>
      </c>
      <c r="B51" s="64"/>
      <c r="C51" s="57"/>
      <c r="D51" s="57"/>
      <c r="E51" s="57"/>
      <c r="F51" s="64">
        <f>-sum(5.6,3)</f>
        <v>-8.6</v>
      </c>
      <c r="G51" s="64">
        <v>-215.92</v>
      </c>
      <c r="H51" s="57"/>
      <c r="I51" s="57"/>
      <c r="J51" s="57"/>
      <c r="K51" s="57"/>
      <c r="L51" s="30"/>
      <c r="M51" s="30"/>
      <c r="N51" s="2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9.5" hidden="1" customHeight="1">
      <c r="A52" s="26">
        <v>43868.0</v>
      </c>
      <c r="B52" s="64"/>
      <c r="C52" s="57"/>
      <c r="D52" s="57"/>
      <c r="E52" s="64"/>
      <c r="F52" s="64">
        <v>-8.84</v>
      </c>
      <c r="G52" s="57"/>
      <c r="H52" s="57"/>
      <c r="I52" s="57"/>
      <c r="J52" s="57"/>
      <c r="K52" s="57"/>
      <c r="L52" s="30"/>
      <c r="M52" s="30"/>
      <c r="N52" s="3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9.5" hidden="1" customHeight="1">
      <c r="A53" s="26">
        <v>43869.0</v>
      </c>
      <c r="B53" s="64"/>
      <c r="C53" s="57"/>
      <c r="D53" s="57"/>
      <c r="E53" s="64"/>
      <c r="F53" s="57">
        <f>-sum(19.95,15.68,2)</f>
        <v>-37.63</v>
      </c>
      <c r="G53" s="57"/>
      <c r="H53" s="57"/>
      <c r="I53" s="57"/>
      <c r="J53" s="57"/>
      <c r="K53" s="57"/>
      <c r="L53" s="30"/>
      <c r="M53" s="3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9.5" hidden="1" customHeight="1">
      <c r="A54" s="26">
        <v>43870.0</v>
      </c>
      <c r="B54" s="64"/>
      <c r="C54" s="57"/>
      <c r="D54" s="57"/>
      <c r="E54" s="64"/>
      <c r="F54" s="57">
        <f>-sum(19.2,12.94,32.36)</f>
        <v>-64.5</v>
      </c>
      <c r="G54" s="57"/>
      <c r="H54" s="57"/>
      <c r="I54" s="57"/>
      <c r="J54" s="57"/>
      <c r="K54" s="57"/>
      <c r="L54" s="30"/>
      <c r="M54" s="3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9.5" hidden="1" customHeight="1">
      <c r="A55" s="26">
        <v>43871.0</v>
      </c>
      <c r="B55" s="64"/>
      <c r="C55" s="57"/>
      <c r="D55" s="57"/>
      <c r="E55" s="57"/>
      <c r="F55" s="64">
        <f>-sum(25.63,19,42.23)</f>
        <v>-86.86</v>
      </c>
      <c r="G55" s="64"/>
      <c r="H55" s="57"/>
      <c r="I55" s="57"/>
      <c r="J55" s="57"/>
      <c r="K55" s="57"/>
      <c r="L55" s="30"/>
      <c r="M55" s="30"/>
      <c r="N55" s="2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9.5" hidden="1" customHeight="1">
      <c r="A56" s="26">
        <v>43872.0</v>
      </c>
      <c r="B56" s="57"/>
      <c r="C56" s="64"/>
      <c r="D56" s="57"/>
      <c r="E56" s="57"/>
      <c r="F56" s="64">
        <v>-430.0</v>
      </c>
      <c r="G56" s="57"/>
      <c r="H56" s="57"/>
      <c r="I56" s="57"/>
      <c r="J56" s="57"/>
      <c r="K56" s="57"/>
      <c r="L56" s="30"/>
      <c r="M56" s="3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9.5" hidden="1" customHeight="1">
      <c r="A57" s="26">
        <v>43873.0</v>
      </c>
      <c r="B57" s="64"/>
      <c r="C57" s="57"/>
      <c r="D57" s="57"/>
      <c r="E57" s="64"/>
      <c r="F57" s="57">
        <f>-sum(11.1,2.7)</f>
        <v>-13.8</v>
      </c>
      <c r="G57" s="57"/>
      <c r="H57" s="57"/>
      <c r="I57" s="57"/>
      <c r="J57" s="57"/>
      <c r="K57" s="57"/>
      <c r="L57" s="30"/>
      <c r="M57" s="30"/>
      <c r="N57" s="3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9.5" hidden="1" customHeight="1">
      <c r="A58" s="26">
        <v>43874.0</v>
      </c>
      <c r="B58" s="64"/>
      <c r="C58" s="57"/>
      <c r="D58" s="57"/>
      <c r="E58" s="64">
        <f>-sum(3.04,33.37)</f>
        <v>-36.41</v>
      </c>
      <c r="F58" s="57">
        <f>-sum(3,20,4.2)</f>
        <v>-27.2</v>
      </c>
      <c r="G58" s="57"/>
      <c r="H58" s="57"/>
      <c r="I58" s="57"/>
      <c r="J58" s="57"/>
      <c r="K58" s="57"/>
      <c r="L58" s="30"/>
      <c r="M58" s="3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9.5" hidden="1" customHeight="1">
      <c r="A59" s="26">
        <v>43875.0</v>
      </c>
      <c r="B59" s="64"/>
      <c r="C59" s="57"/>
      <c r="D59" s="57"/>
      <c r="E59" s="64"/>
      <c r="F59" s="57">
        <f>-sum(8.4,33.5,2.41,2.8)</f>
        <v>-47.11</v>
      </c>
      <c r="G59" s="57"/>
      <c r="H59" s="57"/>
      <c r="I59" s="57"/>
      <c r="J59" s="57"/>
      <c r="K59" s="57"/>
      <c r="L59" s="30"/>
      <c r="M59" s="3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9.5" hidden="1" customHeight="1">
      <c r="A60" s="26">
        <v>43876.0</v>
      </c>
      <c r="B60" s="64"/>
      <c r="C60" s="57"/>
      <c r="D60" s="57"/>
      <c r="E60" s="57"/>
      <c r="F60" s="64">
        <f>-sum(5.6,10.98,17.05)</f>
        <v>-33.63</v>
      </c>
      <c r="G60" s="64"/>
      <c r="H60" s="57"/>
      <c r="I60" s="57"/>
      <c r="J60" s="57"/>
      <c r="K60" s="57"/>
      <c r="L60" s="30"/>
      <c r="M60" s="30"/>
      <c r="N60" s="2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9.5" hidden="1" customHeight="1">
      <c r="A61" s="26">
        <v>43877.0</v>
      </c>
      <c r="B61" s="64"/>
      <c r="C61" s="57"/>
      <c r="D61" s="57"/>
      <c r="E61" s="57"/>
      <c r="F61" s="57">
        <f>-sum(15,19.11,5.6,15.98,11.9,19.57,14.97)</f>
        <v>-102.13</v>
      </c>
      <c r="G61" s="57"/>
      <c r="H61" s="64"/>
      <c r="I61" s="57"/>
      <c r="J61" s="57"/>
      <c r="K61" s="57"/>
      <c r="L61" s="30"/>
      <c r="M61" s="30"/>
      <c r="N61" s="29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9.5" hidden="1" customHeight="1">
      <c r="A62" s="26">
        <v>43878.0</v>
      </c>
      <c r="B62" s="64"/>
      <c r="C62" s="57"/>
      <c r="D62" s="57"/>
      <c r="E62" s="57"/>
      <c r="F62" s="64">
        <f>-sum(18.1,7.65,11.22)</f>
        <v>-36.97</v>
      </c>
      <c r="G62" s="64"/>
      <c r="H62" s="57"/>
      <c r="I62" s="57"/>
      <c r="J62" s="57"/>
      <c r="K62" s="57"/>
      <c r="L62" s="30"/>
      <c r="M62" s="30"/>
      <c r="N62" s="2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9.5" hidden="1" customHeight="1">
      <c r="A63" s="26">
        <v>43879.0</v>
      </c>
      <c r="B63" s="64"/>
      <c r="C63" s="57"/>
      <c r="D63" s="57"/>
      <c r="E63" s="64">
        <v>-5.0</v>
      </c>
      <c r="F63" s="64">
        <v>-3.0</v>
      </c>
      <c r="G63" s="57"/>
      <c r="H63" s="57"/>
      <c r="I63" s="57"/>
      <c r="J63" s="57"/>
      <c r="K63" s="57"/>
      <c r="L63" s="30"/>
      <c r="M63" s="30"/>
      <c r="N63" s="2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9.5" hidden="1" customHeight="1">
      <c r="A64" s="26">
        <v>43880.0</v>
      </c>
      <c r="B64" s="64"/>
      <c r="C64" s="57"/>
      <c r="D64" s="57"/>
      <c r="E64" s="57"/>
      <c r="F64" s="64">
        <f>-sum(29,3)</f>
        <v>-32</v>
      </c>
      <c r="G64" s="64"/>
      <c r="H64" s="57"/>
      <c r="I64" s="57"/>
      <c r="J64" s="57"/>
      <c r="K64" s="57"/>
      <c r="L64" s="30"/>
      <c r="M64" s="30"/>
      <c r="N64" s="29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9.5" hidden="1" customHeight="1">
      <c r="A65" s="26">
        <v>43881.0</v>
      </c>
      <c r="B65" s="64"/>
      <c r="C65" s="57"/>
      <c r="D65" s="57"/>
      <c r="E65" s="57"/>
      <c r="F65" s="64">
        <f>-sum(5.8,11.9,40.63)</f>
        <v>-58.33</v>
      </c>
      <c r="G65" s="64"/>
      <c r="H65" s="57"/>
      <c r="I65" s="57"/>
      <c r="J65" s="57"/>
      <c r="K65" s="57"/>
      <c r="L65" s="30"/>
      <c r="M65" s="30"/>
      <c r="N65" s="29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9.5" hidden="1" customHeight="1">
      <c r="A66" s="26">
        <v>43882.0</v>
      </c>
      <c r="B66" s="64"/>
      <c r="C66" s="57"/>
      <c r="D66" s="57"/>
      <c r="E66" s="57"/>
      <c r="F66" s="64">
        <f>-sum(55.7,33.6)</f>
        <v>-89.3</v>
      </c>
      <c r="G66" s="64"/>
      <c r="H66" s="57"/>
      <c r="I66" s="57"/>
      <c r="J66" s="57"/>
      <c r="K66" s="57"/>
      <c r="L66" s="30"/>
      <c r="M66" s="30"/>
      <c r="N66" s="29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9.5" hidden="1" customHeight="1">
      <c r="A67" s="26">
        <v>43883.0</v>
      </c>
      <c r="B67" s="64"/>
      <c r="C67" s="57"/>
      <c r="D67" s="57"/>
      <c r="E67" s="57"/>
      <c r="F67" s="64">
        <f>-sum(10,5.5,5.6,-50)</f>
        <v>28.9</v>
      </c>
      <c r="G67" s="64"/>
      <c r="H67" s="57"/>
      <c r="I67" s="57"/>
      <c r="J67" s="57"/>
      <c r="K67" s="57"/>
      <c r="L67" s="30"/>
      <c r="M67" s="30"/>
      <c r="N67" s="2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9.5" hidden="1" customHeight="1">
      <c r="A68" s="26">
        <v>43884.0</v>
      </c>
      <c r="B68" s="64"/>
      <c r="C68" s="57"/>
      <c r="D68" s="57"/>
      <c r="E68" s="64">
        <v>-30.47</v>
      </c>
      <c r="F68" s="64">
        <f>-sum(18.1,30,10.35)</f>
        <v>-58.45</v>
      </c>
      <c r="G68" s="64">
        <v>-66.31</v>
      </c>
      <c r="H68" s="57"/>
      <c r="I68" s="57"/>
      <c r="J68" s="57"/>
      <c r="K68" s="57"/>
      <c r="L68" s="30"/>
      <c r="M68" s="30"/>
      <c r="N68" s="2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9.5" hidden="1" customHeight="1">
      <c r="A69" s="26">
        <v>43885.0</v>
      </c>
      <c r="B69" s="64"/>
      <c r="C69" s="57"/>
      <c r="D69" s="57"/>
      <c r="E69" s="64"/>
      <c r="F69" s="57">
        <f>-sum(10.3,6.9,8.8,21,4.38,21.58)</f>
        <v>-72.96</v>
      </c>
      <c r="G69" s="57"/>
      <c r="H69" s="57"/>
      <c r="I69" s="57"/>
      <c r="J69" s="57"/>
      <c r="K69" s="57"/>
      <c r="L69" s="30"/>
      <c r="M69" s="30"/>
      <c r="N69" s="2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9.5" hidden="1" customHeight="1">
      <c r="A70" s="26">
        <v>43886.0</v>
      </c>
      <c r="B70" s="64"/>
      <c r="C70" s="57"/>
      <c r="D70" s="57"/>
      <c r="E70" s="57"/>
      <c r="F70" s="64">
        <f>-sum(173.4,8.4,6.3,5.8)</f>
        <v>-193.9</v>
      </c>
      <c r="G70" s="64"/>
      <c r="H70" s="57"/>
      <c r="I70" s="57"/>
      <c r="J70" s="64">
        <v>-16.5</v>
      </c>
      <c r="K70" s="64">
        <v>42.86</v>
      </c>
      <c r="L70" s="30"/>
      <c r="M70" s="30"/>
      <c r="N70" s="2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9.5" hidden="1" customHeight="1">
      <c r="A71" s="26">
        <v>43887.0</v>
      </c>
      <c r="B71" s="64"/>
      <c r="C71" s="57"/>
      <c r="D71" s="57"/>
      <c r="E71" s="57"/>
      <c r="F71" s="64">
        <f>-sum(61.35,13.75,6.4,2.8,8)</f>
        <v>-92.3</v>
      </c>
      <c r="G71" s="64"/>
      <c r="H71" s="57"/>
      <c r="I71" s="57"/>
      <c r="J71" s="57"/>
      <c r="K71" s="57"/>
      <c r="L71" s="30"/>
      <c r="M71" s="30"/>
      <c r="N71" s="2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9.5" hidden="1" customHeight="1">
      <c r="A72" s="26">
        <v>43888.0</v>
      </c>
      <c r="B72" s="64"/>
      <c r="C72" s="57"/>
      <c r="D72" s="57"/>
      <c r="E72" s="57"/>
      <c r="F72" s="64">
        <f>-sum(13.75,99.32)</f>
        <v>-113.07</v>
      </c>
      <c r="G72" s="64"/>
      <c r="H72" s="57"/>
      <c r="I72" s="57"/>
      <c r="J72" s="57"/>
      <c r="K72" s="57"/>
      <c r="L72" s="30"/>
      <c r="M72" s="30"/>
      <c r="N72" s="2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9.5" hidden="1" customHeight="1">
      <c r="A73" s="26">
        <v>43889.0</v>
      </c>
      <c r="B73" s="64"/>
      <c r="C73" s="57"/>
      <c r="D73" s="57"/>
      <c r="E73" s="64">
        <f>-sum(34.5,20)</f>
        <v>-54.5</v>
      </c>
      <c r="F73" s="57">
        <f>-sum(18.4,11)</f>
        <v>-29.4</v>
      </c>
      <c r="G73" s="57"/>
      <c r="H73" s="57"/>
      <c r="I73" s="57"/>
      <c r="J73" s="57"/>
      <c r="K73" s="57"/>
      <c r="L73" s="30"/>
      <c r="M73" s="30"/>
      <c r="N73" s="2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9.5" hidden="1" customHeight="1">
      <c r="A74" s="26">
        <v>43890.0</v>
      </c>
      <c r="B74" s="57"/>
      <c r="C74" s="57"/>
      <c r="D74" s="57"/>
      <c r="E74" s="57"/>
      <c r="F74" s="64">
        <v>-19.37</v>
      </c>
      <c r="G74" s="57"/>
      <c r="H74" s="57"/>
      <c r="I74" s="57"/>
      <c r="J74" s="57"/>
      <c r="K74" s="57"/>
      <c r="L74" s="30"/>
      <c r="M74" s="30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9.5" hidden="1" customHeight="1">
      <c r="A75" s="26">
        <v>43891.0</v>
      </c>
      <c r="B75" s="57"/>
      <c r="C75" s="57"/>
      <c r="D75" s="57"/>
      <c r="E75" s="57"/>
      <c r="F75" s="64">
        <f>-sum(3.4,9)</f>
        <v>-12.4</v>
      </c>
      <c r="G75" s="64"/>
      <c r="H75" s="57"/>
      <c r="I75" s="57"/>
      <c r="J75" s="64">
        <v>-78.01</v>
      </c>
      <c r="K75" s="57"/>
      <c r="L75" s="30"/>
      <c r="M75" s="30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9.5" hidden="1" customHeight="1">
      <c r="A76" s="26">
        <v>43892.0</v>
      </c>
      <c r="B76" s="57"/>
      <c r="C76" s="57"/>
      <c r="D76" s="57"/>
      <c r="E76" s="64">
        <v>-31.55</v>
      </c>
      <c r="F76" s="64">
        <f>-sum(2.9,12.04,5.6,24.17,21.1)</f>
        <v>-65.81</v>
      </c>
      <c r="G76" s="64"/>
      <c r="H76" s="57"/>
      <c r="I76" s="57"/>
      <c r="J76" s="57"/>
      <c r="K76" s="57"/>
      <c r="L76" s="30"/>
      <c r="M76" s="30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9.5" hidden="1" customHeight="1">
      <c r="A77" s="26">
        <v>43893.0</v>
      </c>
      <c r="B77" s="57"/>
      <c r="C77" s="57"/>
      <c r="D77" s="57"/>
      <c r="E77" s="57"/>
      <c r="F77" s="57">
        <f>-sum(32,99.4)</f>
        <v>-131.4</v>
      </c>
      <c r="G77" s="57"/>
      <c r="H77" s="57"/>
      <c r="I77" s="57"/>
      <c r="J77" s="57"/>
      <c r="K77" s="57"/>
      <c r="L77" s="30"/>
      <c r="M77" s="30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9.5" hidden="1" customHeight="1">
      <c r="A78" s="26">
        <v>43894.0</v>
      </c>
      <c r="B78" s="57"/>
      <c r="C78" s="57"/>
      <c r="D78" s="57"/>
      <c r="E78" s="57"/>
      <c r="F78" s="64">
        <v>-18.86</v>
      </c>
      <c r="G78" s="57"/>
      <c r="H78" s="57"/>
      <c r="I78" s="57"/>
      <c r="J78" s="57"/>
      <c r="K78" s="57"/>
      <c r="L78" s="30"/>
      <c r="M78" s="30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9.5" hidden="1" customHeight="1">
      <c r="A79" s="26">
        <v>43895.0</v>
      </c>
      <c r="B79" s="57"/>
      <c r="C79" s="57"/>
      <c r="D79" s="57"/>
      <c r="E79" s="57"/>
      <c r="F79" s="64">
        <v>-18.0</v>
      </c>
      <c r="G79" s="64">
        <v>-35.0</v>
      </c>
      <c r="H79" s="57"/>
      <c r="I79" s="57"/>
      <c r="J79" s="64"/>
      <c r="K79" s="64"/>
      <c r="L79" s="30"/>
      <c r="M79" s="30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9.5" hidden="1" customHeight="1">
      <c r="A80" s="26">
        <v>43896.0</v>
      </c>
      <c r="B80" s="57"/>
      <c r="C80" s="57"/>
      <c r="D80" s="57"/>
      <c r="E80" s="64">
        <v>-36.93</v>
      </c>
      <c r="F80" s="64">
        <v>-28.5</v>
      </c>
      <c r="G80" s="64"/>
      <c r="H80" s="57"/>
      <c r="I80" s="57"/>
      <c r="J80" s="57"/>
      <c r="K80" s="57"/>
      <c r="L80" s="30"/>
      <c r="M80" s="3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9.5" hidden="1" customHeight="1">
      <c r="A81" s="26">
        <v>43897.0</v>
      </c>
      <c r="B81" s="57"/>
      <c r="C81" s="57"/>
      <c r="D81" s="57"/>
      <c r="E81" s="57"/>
      <c r="F81" s="64">
        <f>-sum(10,21,2.5,5.6,2.9,13.99,29.52)</f>
        <v>-85.51</v>
      </c>
      <c r="G81" s="64"/>
      <c r="H81" s="57"/>
      <c r="I81" s="57"/>
      <c r="J81" s="57"/>
      <c r="K81" s="57"/>
      <c r="L81" s="30"/>
      <c r="M81" s="30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9.5" hidden="1" customHeight="1">
      <c r="A82" s="26">
        <v>43898.0</v>
      </c>
      <c r="B82" s="57"/>
      <c r="C82" s="57"/>
      <c r="D82" s="57"/>
      <c r="E82" s="57"/>
      <c r="F82" s="64">
        <f>-sum(3.5,22.78)</f>
        <v>-26.28</v>
      </c>
      <c r="G82" s="64"/>
      <c r="H82" s="57"/>
      <c r="I82" s="57"/>
      <c r="J82" s="57"/>
      <c r="K82" s="57"/>
      <c r="L82" s="30"/>
      <c r="M82" s="30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9.5" hidden="1" customHeight="1">
      <c r="A83" s="26">
        <v>43899.0</v>
      </c>
      <c r="B83" s="57"/>
      <c r="C83" s="57"/>
      <c r="D83" s="57"/>
      <c r="E83" s="57"/>
      <c r="F83" s="64">
        <f>-sum(25.25,13.07,10.26)</f>
        <v>-48.58</v>
      </c>
      <c r="G83" s="64"/>
      <c r="H83" s="57"/>
      <c r="I83" s="57"/>
      <c r="J83" s="57"/>
      <c r="K83" s="57"/>
      <c r="L83" s="30"/>
      <c r="M83" s="30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9.5" hidden="1" customHeight="1">
      <c r="A84" s="26">
        <v>43900.0</v>
      </c>
      <c r="B84" s="57"/>
      <c r="C84" s="57"/>
      <c r="D84" s="57"/>
      <c r="E84" s="57"/>
      <c r="F84" s="57">
        <f>-sum(9.9,2.5,20.2)</f>
        <v>-32.6</v>
      </c>
      <c r="G84" s="57"/>
      <c r="H84" s="57"/>
      <c r="I84" s="57"/>
      <c r="J84" s="57"/>
      <c r="K84" s="57"/>
      <c r="L84" s="30"/>
      <c r="M84" s="30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9.5" hidden="1" customHeight="1">
      <c r="A85" s="26">
        <v>43901.0</v>
      </c>
      <c r="B85" s="57"/>
      <c r="C85" s="57"/>
      <c r="D85" s="57"/>
      <c r="E85" s="64">
        <v>-32.53</v>
      </c>
      <c r="F85" s="64">
        <v>-3.2</v>
      </c>
      <c r="G85" s="57"/>
      <c r="H85" s="57"/>
      <c r="I85" s="57"/>
      <c r="J85" s="57"/>
      <c r="K85" s="57"/>
      <c r="L85" s="30"/>
      <c r="M85" s="30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9.5" hidden="1" customHeight="1">
      <c r="A86" s="26">
        <v>43902.0</v>
      </c>
      <c r="B86" s="57"/>
      <c r="C86" s="57"/>
      <c r="D86" s="57"/>
      <c r="E86" s="64">
        <v>-20.0</v>
      </c>
      <c r="F86" s="64">
        <f>-sum(6.9,5.5,15.1)</f>
        <v>-27.5</v>
      </c>
      <c r="G86" s="64"/>
      <c r="H86" s="57"/>
      <c r="I86" s="57"/>
      <c r="J86" s="57"/>
      <c r="K86" s="57"/>
      <c r="L86" s="30"/>
      <c r="M86" s="30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9.5" hidden="1" customHeight="1">
      <c r="A87" s="26">
        <v>43903.0</v>
      </c>
      <c r="B87" s="57"/>
      <c r="C87" s="57"/>
      <c r="D87" s="57"/>
      <c r="E87" s="64"/>
      <c r="F87" s="64">
        <f>-sum(2.8,5.5,36.5)</f>
        <v>-44.8</v>
      </c>
      <c r="G87" s="64"/>
      <c r="H87" s="57"/>
      <c r="I87" s="57"/>
      <c r="J87" s="57"/>
      <c r="K87" s="57"/>
      <c r="L87" s="30"/>
      <c r="M87" s="30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9.5" hidden="1" customHeight="1">
      <c r="A88" s="26">
        <v>43904.0</v>
      </c>
      <c r="B88" s="57"/>
      <c r="C88" s="57"/>
      <c r="D88" s="57"/>
      <c r="E88" s="57"/>
      <c r="F88" s="57">
        <f>-sum(4,6.62,13.5)</f>
        <v>-24.12</v>
      </c>
      <c r="G88" s="57"/>
      <c r="H88" s="57"/>
      <c r="I88" s="57"/>
      <c r="J88" s="57"/>
      <c r="K88" s="57"/>
      <c r="L88" s="30"/>
      <c r="M88" s="30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9.5" hidden="1" customHeight="1">
      <c r="A89" s="26">
        <v>43905.0</v>
      </c>
      <c r="B89" s="57"/>
      <c r="C89" s="57"/>
      <c r="D89" s="57"/>
      <c r="E89" s="64"/>
      <c r="F89" s="64">
        <f>-sum(49.28,27.02,11.8,19.48,5.5,14.72)</f>
        <v>-127.8</v>
      </c>
      <c r="G89" s="64"/>
      <c r="H89" s="57"/>
      <c r="I89" s="57"/>
      <c r="J89" s="57"/>
      <c r="K89" s="57"/>
      <c r="L89" s="30"/>
      <c r="M89" s="30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9.5" hidden="1" customHeight="1">
      <c r="A90" s="26">
        <v>43906.0</v>
      </c>
      <c r="B90" s="57"/>
      <c r="C90" s="57"/>
      <c r="D90" s="57"/>
      <c r="E90" s="57"/>
      <c r="F90" s="64">
        <f>-sum(35,49.1,7,15.9)</f>
        <v>-107</v>
      </c>
      <c r="G90" s="64"/>
      <c r="H90" s="57"/>
      <c r="I90" s="57"/>
      <c r="J90" s="57"/>
      <c r="K90" s="57"/>
      <c r="L90" s="30"/>
      <c r="M90" s="30"/>
      <c r="N90" s="2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9.5" hidden="1" customHeight="1">
      <c r="A91" s="26">
        <v>43907.0</v>
      </c>
      <c r="B91" s="57"/>
      <c r="C91" s="57"/>
      <c r="D91" s="57"/>
      <c r="E91" s="64"/>
      <c r="F91" s="64">
        <f>-sum(6,19.35)</f>
        <v>-25.35</v>
      </c>
      <c r="G91" s="64"/>
      <c r="H91" s="57"/>
      <c r="I91" s="57"/>
      <c r="J91" s="64"/>
      <c r="K91" s="64"/>
      <c r="L91" s="30"/>
      <c r="M91" s="30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9.5" hidden="1" customHeight="1">
      <c r="A92" s="26">
        <v>43908.0</v>
      </c>
      <c r="B92" s="57"/>
      <c r="C92" s="57"/>
      <c r="D92" s="57"/>
      <c r="E92" s="57"/>
      <c r="F92" s="64">
        <f>-sum(15,15.3)</f>
        <v>-30.3</v>
      </c>
      <c r="G92" s="64"/>
      <c r="H92" s="57"/>
      <c r="I92" s="57"/>
      <c r="J92" s="64"/>
      <c r="K92" s="64"/>
      <c r="L92" s="30"/>
      <c r="M92" s="30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9.5" hidden="1" customHeight="1">
      <c r="A93" s="26">
        <v>43909.0</v>
      </c>
      <c r="B93" s="57"/>
      <c r="C93" s="57"/>
      <c r="D93" s="57"/>
      <c r="E93" s="64">
        <v>-32.93</v>
      </c>
      <c r="F93" s="64"/>
      <c r="G93" s="64">
        <v>-716.87</v>
      </c>
      <c r="H93" s="57"/>
      <c r="I93" s="57"/>
      <c r="J93" s="64">
        <v>-37.98</v>
      </c>
      <c r="K93" s="57"/>
      <c r="L93" s="30"/>
      <c r="M93" s="30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9.5" hidden="1" customHeight="1">
      <c r="A94" s="26">
        <v>43910.0</v>
      </c>
      <c r="B94" s="57"/>
      <c r="C94" s="57"/>
      <c r="D94" s="57"/>
      <c r="E94" s="64"/>
      <c r="F94" s="64">
        <v>-20.5</v>
      </c>
      <c r="G94" s="64"/>
      <c r="H94" s="57"/>
      <c r="I94" s="57"/>
      <c r="J94" s="64"/>
      <c r="K94" s="64"/>
      <c r="L94" s="30"/>
      <c r="M94" s="30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9.5" hidden="1" customHeight="1">
      <c r="A95" s="26">
        <v>43911.0</v>
      </c>
      <c r="B95" s="57"/>
      <c r="C95" s="57"/>
      <c r="D95" s="57"/>
      <c r="E95" s="64">
        <v>-10.15</v>
      </c>
      <c r="F95" s="64">
        <f>-sum(18.63)</f>
        <v>-18.63</v>
      </c>
      <c r="G95" s="64"/>
      <c r="H95" s="57"/>
      <c r="I95" s="57"/>
      <c r="J95" s="57"/>
      <c r="K95" s="57"/>
      <c r="L95" s="30"/>
      <c r="M95" s="30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9.5" hidden="1" customHeight="1">
      <c r="A96" s="26">
        <v>43912.0</v>
      </c>
      <c r="B96" s="57"/>
      <c r="C96" s="57"/>
      <c r="D96" s="57"/>
      <c r="E96" s="64">
        <v>-33.88</v>
      </c>
      <c r="F96" s="64">
        <v>-44.2</v>
      </c>
      <c r="G96" s="57"/>
      <c r="H96" s="57"/>
      <c r="I96" s="57"/>
      <c r="J96" s="57"/>
      <c r="K96" s="57"/>
      <c r="L96" s="30"/>
      <c r="M96" s="30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9.5" hidden="1" customHeight="1">
      <c r="A97" s="26">
        <v>43913.0</v>
      </c>
      <c r="B97" s="57"/>
      <c r="C97" s="57"/>
      <c r="D97" s="57"/>
      <c r="E97" s="57"/>
      <c r="F97" s="64">
        <f>-sum(58.85,44.15,45.87,5.49)</f>
        <v>-154.36</v>
      </c>
      <c r="G97" s="64"/>
      <c r="H97" s="57"/>
      <c r="I97" s="57"/>
      <c r="J97" s="57"/>
      <c r="K97" s="57"/>
      <c r="L97" s="30"/>
      <c r="M97" s="30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9.5" hidden="1" customHeight="1">
      <c r="A98" s="26">
        <v>43914.0</v>
      </c>
      <c r="B98" s="57"/>
      <c r="C98" s="57"/>
      <c r="D98" s="57"/>
      <c r="E98" s="57"/>
      <c r="F98" s="64">
        <f>-sum(7.7,112.63)</f>
        <v>-120.33</v>
      </c>
      <c r="G98" s="64"/>
      <c r="H98" s="57"/>
      <c r="I98" s="57"/>
      <c r="J98" s="57"/>
      <c r="K98" s="57"/>
      <c r="L98" s="30"/>
      <c r="M98" s="30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9.5" hidden="1" customHeight="1">
      <c r="A99" s="26">
        <v>43915.0</v>
      </c>
      <c r="B99" s="57"/>
      <c r="C99" s="57"/>
      <c r="D99" s="57"/>
      <c r="E99" s="57"/>
      <c r="F99" s="64">
        <v>-91.7</v>
      </c>
      <c r="G99" s="57"/>
      <c r="H99" s="57"/>
      <c r="I99" s="64">
        <v>-4914.08</v>
      </c>
      <c r="J99" s="57"/>
      <c r="K99" s="57"/>
      <c r="L99" s="30"/>
      <c r="M99" s="30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9.5" hidden="1" customHeight="1">
      <c r="A100" s="26">
        <v>43916.0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30"/>
      <c r="M100" s="30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9.5" hidden="1" customHeight="1">
      <c r="A101" s="26">
        <v>43917.0</v>
      </c>
      <c r="B101" s="57"/>
      <c r="C101" s="57"/>
      <c r="D101" s="57"/>
      <c r="E101" s="57"/>
      <c r="F101" s="64"/>
      <c r="G101" s="64"/>
      <c r="H101" s="57"/>
      <c r="I101" s="57"/>
      <c r="J101" s="57"/>
      <c r="K101" s="57"/>
      <c r="L101" s="30"/>
      <c r="M101" s="30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9.5" hidden="1" customHeight="1">
      <c r="A102" s="26">
        <v>43918.0</v>
      </c>
      <c r="B102" s="57"/>
      <c r="C102" s="57"/>
      <c r="D102" s="57"/>
      <c r="E102" s="57"/>
      <c r="F102" s="64"/>
      <c r="G102" s="64"/>
      <c r="H102" s="57"/>
      <c r="I102" s="57"/>
      <c r="J102" s="57"/>
      <c r="K102" s="57"/>
      <c r="L102" s="30"/>
      <c r="M102" s="30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9.5" hidden="1" customHeight="1">
      <c r="A103" s="26">
        <v>43919.0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30"/>
      <c r="M103" s="30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9.5" hidden="1" customHeight="1">
      <c r="A104" s="26">
        <v>43920.0</v>
      </c>
      <c r="B104" s="57"/>
      <c r="C104" s="57"/>
      <c r="D104" s="57"/>
      <c r="E104" s="57"/>
      <c r="F104" s="64">
        <v>-34.56</v>
      </c>
      <c r="G104" s="64"/>
      <c r="H104" s="57"/>
      <c r="I104" s="57"/>
      <c r="J104" s="57"/>
      <c r="K104" s="57"/>
      <c r="L104" s="30"/>
      <c r="M104" s="30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9.5" hidden="1" customHeight="1">
      <c r="A105" s="26">
        <v>43921.0</v>
      </c>
      <c r="B105" s="57"/>
      <c r="C105" s="57"/>
      <c r="D105" s="57"/>
      <c r="E105" s="64"/>
      <c r="F105" s="64">
        <f>-sum(74.14,37.39,5.7,9.8,65.28,17.2,15.74,7.45,30,13.8)</f>
        <v>-276.5</v>
      </c>
      <c r="G105" s="64"/>
      <c r="H105" s="57"/>
      <c r="I105" s="57"/>
      <c r="J105" s="57"/>
      <c r="K105" s="57"/>
      <c r="L105" s="30"/>
      <c r="M105" s="30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9.5" hidden="1" customHeight="1">
      <c r="A106" s="26">
        <v>43922.0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30"/>
      <c r="M106" s="30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9.5" hidden="1" customHeight="1">
      <c r="A107" s="26">
        <v>43923.0</v>
      </c>
      <c r="B107" s="57"/>
      <c r="C107" s="57"/>
      <c r="D107" s="57"/>
      <c r="E107" s="64">
        <v>-33.66</v>
      </c>
      <c r="F107" s="64"/>
      <c r="G107" s="64"/>
      <c r="H107" s="57"/>
      <c r="I107" s="57"/>
      <c r="J107" s="57"/>
      <c r="K107" s="57"/>
      <c r="L107" s="30"/>
      <c r="M107" s="3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9.5" hidden="1" customHeight="1">
      <c r="A108" s="26">
        <v>43924.0</v>
      </c>
      <c r="B108" s="57"/>
      <c r="C108" s="57"/>
      <c r="D108" s="57"/>
      <c r="E108" s="57"/>
      <c r="F108" s="64">
        <v>-29.38</v>
      </c>
      <c r="G108" s="64"/>
      <c r="H108" s="57"/>
      <c r="I108" s="57"/>
      <c r="J108" s="57"/>
      <c r="K108" s="57"/>
      <c r="L108" s="30"/>
      <c r="M108" s="30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9.5" hidden="1" customHeight="1">
      <c r="A109" s="26">
        <v>43925.0</v>
      </c>
      <c r="B109" s="57"/>
      <c r="C109" s="57"/>
      <c r="D109" s="57"/>
      <c r="E109" s="57"/>
      <c r="F109" s="64"/>
      <c r="G109" s="64">
        <v>-35.0</v>
      </c>
      <c r="H109" s="57"/>
      <c r="I109" s="57"/>
      <c r="J109" s="57"/>
      <c r="K109" s="57"/>
      <c r="L109" s="30"/>
      <c r="M109" s="30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9.5" hidden="1" customHeight="1">
      <c r="A110" s="26">
        <v>43926.0</v>
      </c>
      <c r="B110" s="57"/>
      <c r="C110" s="57"/>
      <c r="D110" s="57"/>
      <c r="E110" s="57"/>
      <c r="F110" s="64">
        <v>-24.0</v>
      </c>
      <c r="G110" s="64"/>
      <c r="H110" s="57"/>
      <c r="I110" s="57"/>
      <c r="J110" s="57"/>
      <c r="K110" s="57"/>
      <c r="L110" s="30"/>
      <c r="M110" s="30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9.5" hidden="1" customHeight="1">
      <c r="A111" s="26">
        <v>43927.0</v>
      </c>
      <c r="B111" s="57"/>
      <c r="C111" s="57"/>
      <c r="D111" s="57"/>
      <c r="E111" s="57"/>
      <c r="F111" s="57">
        <f>-sum(25.61,2.9,35.07)</f>
        <v>-63.58</v>
      </c>
      <c r="G111" s="57"/>
      <c r="H111" s="57"/>
      <c r="I111" s="57"/>
      <c r="J111" s="57"/>
      <c r="K111" s="57"/>
      <c r="L111" s="30"/>
      <c r="M111" s="30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9.5" hidden="1" customHeight="1">
      <c r="A112" s="26">
        <v>43928.0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30"/>
      <c r="M112" s="30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9.5" hidden="1" customHeight="1">
      <c r="A113" s="26">
        <v>43929.0</v>
      </c>
      <c r="B113" s="57"/>
      <c r="C113" s="57"/>
      <c r="D113" s="57"/>
      <c r="E113" s="64">
        <v>-33.01</v>
      </c>
      <c r="F113" s="64">
        <f>-sum(19.3,29,4.7,3.55,75.72,42.08)</f>
        <v>-174.35</v>
      </c>
      <c r="G113" s="64">
        <v>-195.32</v>
      </c>
      <c r="H113" s="57"/>
      <c r="I113" s="57"/>
      <c r="J113" s="57"/>
      <c r="K113" s="57"/>
      <c r="L113" s="30"/>
      <c r="M113" s="30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9.5" hidden="1" customHeight="1">
      <c r="A114" s="26">
        <v>43930.0</v>
      </c>
      <c r="B114" s="57"/>
      <c r="C114" s="57"/>
      <c r="D114" s="57"/>
      <c r="E114" s="57"/>
      <c r="F114" s="64"/>
      <c r="G114" s="64">
        <v>-13.8</v>
      </c>
      <c r="H114" s="57"/>
      <c r="I114" s="57"/>
      <c r="J114" s="57"/>
      <c r="K114" s="57"/>
      <c r="L114" s="30"/>
      <c r="M114" s="3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9.5" hidden="1" customHeight="1">
      <c r="A115" s="26">
        <v>43931.0</v>
      </c>
      <c r="B115" s="57"/>
      <c r="C115" s="57"/>
      <c r="D115" s="57"/>
      <c r="E115" s="57"/>
      <c r="F115" s="64"/>
      <c r="G115" s="64"/>
      <c r="H115" s="57"/>
      <c r="I115" s="57"/>
      <c r="J115" s="57"/>
      <c r="K115" s="57"/>
      <c r="L115" s="30"/>
      <c r="M115" s="30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9.5" hidden="1" customHeight="1">
      <c r="A116" s="26">
        <v>43932.0</v>
      </c>
      <c r="B116" s="57"/>
      <c r="C116" s="57"/>
      <c r="D116" s="57"/>
      <c r="E116" s="57"/>
      <c r="F116" s="64">
        <v>-31.37</v>
      </c>
      <c r="G116" s="64"/>
      <c r="H116" s="57"/>
      <c r="I116" s="57"/>
      <c r="J116" s="57"/>
      <c r="K116" s="57"/>
      <c r="L116" s="30"/>
      <c r="M116" s="3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9.5" hidden="1" customHeight="1">
      <c r="A117" s="26">
        <v>43933.0</v>
      </c>
      <c r="B117" s="57"/>
      <c r="C117" s="57"/>
      <c r="D117" s="57"/>
      <c r="E117" s="57"/>
      <c r="F117" s="64"/>
      <c r="G117" s="64"/>
      <c r="H117" s="57"/>
      <c r="I117" s="57"/>
      <c r="J117" s="57"/>
      <c r="K117" s="57"/>
      <c r="L117" s="30"/>
      <c r="M117" s="3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9.5" hidden="1" customHeight="1">
      <c r="A118" s="26">
        <v>43934.0</v>
      </c>
      <c r="B118" s="57"/>
      <c r="C118" s="57"/>
      <c r="D118" s="57"/>
      <c r="E118" s="57"/>
      <c r="F118" s="64">
        <f>-sum(39.32,11.5)</f>
        <v>-50.82</v>
      </c>
      <c r="G118" s="64"/>
      <c r="H118" s="57"/>
      <c r="I118" s="57"/>
      <c r="J118" s="57"/>
      <c r="K118" s="57"/>
      <c r="L118" s="30"/>
      <c r="M118" s="3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9.5" hidden="1" customHeight="1">
      <c r="A119" s="26">
        <v>43935.0</v>
      </c>
      <c r="B119" s="57"/>
      <c r="C119" s="57"/>
      <c r="D119" s="57"/>
      <c r="E119" s="64">
        <v>-28.32</v>
      </c>
      <c r="F119" s="64">
        <v>-27.69</v>
      </c>
      <c r="G119" s="64"/>
      <c r="H119" s="57"/>
      <c r="I119" s="57"/>
      <c r="J119" s="64">
        <v>-59.97</v>
      </c>
      <c r="K119" s="57"/>
      <c r="L119" s="30"/>
      <c r="M119" s="3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9.5" hidden="1" customHeight="1">
      <c r="A120" s="26">
        <v>43936.0</v>
      </c>
      <c r="B120" s="57"/>
      <c r="C120" s="57"/>
      <c r="D120" s="57"/>
      <c r="E120" s="57"/>
      <c r="F120" s="64">
        <f>-sum(17.31,3.5,16.02,12.24,65.78,45.15,32.38)</f>
        <v>-192.38</v>
      </c>
      <c r="G120" s="64"/>
      <c r="H120" s="57"/>
      <c r="I120" s="57"/>
      <c r="J120" s="57"/>
      <c r="K120" s="57"/>
      <c r="L120" s="30"/>
      <c r="M120" s="3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9.5" hidden="1" customHeight="1">
      <c r="A121" s="26">
        <v>43937.0</v>
      </c>
      <c r="B121" s="57"/>
      <c r="C121" s="57"/>
      <c r="D121" s="57"/>
      <c r="E121" s="57"/>
      <c r="F121" s="64"/>
      <c r="G121" s="64"/>
      <c r="H121" s="57"/>
      <c r="I121" s="57"/>
      <c r="J121" s="57"/>
      <c r="K121" s="57"/>
      <c r="L121" s="30"/>
      <c r="M121" s="3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9.5" hidden="1" customHeight="1">
      <c r="A122" s="26">
        <v>43938.0</v>
      </c>
      <c r="B122" s="57"/>
      <c r="C122" s="57"/>
      <c r="D122" s="57"/>
      <c r="E122" s="64"/>
      <c r="F122" s="64">
        <f>-48.69</f>
        <v>-48.69</v>
      </c>
      <c r="G122" s="64"/>
      <c r="H122" s="57"/>
      <c r="I122" s="57"/>
      <c r="J122" s="57"/>
      <c r="K122" s="57"/>
      <c r="L122" s="30"/>
      <c r="M122" s="3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9.5" hidden="1" customHeight="1">
      <c r="A123" s="26">
        <v>43939.0</v>
      </c>
      <c r="B123" s="57"/>
      <c r="C123" s="57"/>
      <c r="D123" s="57"/>
      <c r="E123" s="57"/>
      <c r="F123" s="64"/>
      <c r="G123" s="64"/>
      <c r="H123" s="57"/>
      <c r="I123" s="57"/>
      <c r="J123" s="64"/>
      <c r="K123" s="64"/>
      <c r="L123" s="30"/>
      <c r="M123" s="3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9.5" hidden="1" customHeight="1">
      <c r="A124" s="26">
        <v>43940.0</v>
      </c>
      <c r="B124" s="57"/>
      <c r="C124" s="57"/>
      <c r="D124" s="57"/>
      <c r="E124" s="57"/>
      <c r="F124" s="64">
        <f>-sum(13.93,60)</f>
        <v>-73.93</v>
      </c>
      <c r="G124" s="64"/>
      <c r="H124" s="57"/>
      <c r="I124" s="57"/>
      <c r="J124" s="57"/>
      <c r="K124" s="57"/>
      <c r="L124" s="30"/>
      <c r="M124" s="3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9.5" hidden="1" customHeight="1">
      <c r="A125" s="26">
        <v>43941.0</v>
      </c>
      <c r="B125" s="57"/>
      <c r="C125" s="57"/>
      <c r="D125" s="57"/>
      <c r="E125" s="57"/>
      <c r="F125" s="64">
        <v>-19.96</v>
      </c>
      <c r="G125" s="64"/>
      <c r="H125" s="57"/>
      <c r="I125" s="57"/>
      <c r="J125" s="57"/>
      <c r="K125" s="57"/>
      <c r="L125" s="30"/>
      <c r="M125" s="3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9.5" hidden="1" customHeight="1">
      <c r="A126" s="26">
        <v>43942.0</v>
      </c>
      <c r="B126" s="57"/>
      <c r="C126" s="57"/>
      <c r="D126" s="57"/>
      <c r="E126" s="57"/>
      <c r="F126" s="64">
        <f>-sum(16.9,2.6)</f>
        <v>-19.5</v>
      </c>
      <c r="G126" s="64"/>
      <c r="H126" s="57"/>
      <c r="I126" s="57"/>
      <c r="J126" s="57"/>
      <c r="K126" s="57"/>
      <c r="L126" s="30"/>
      <c r="M126" s="3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9.5" hidden="1" customHeight="1">
      <c r="A127" s="26">
        <v>43943.0</v>
      </c>
      <c r="B127" s="57"/>
      <c r="C127" s="57"/>
      <c r="D127" s="57"/>
      <c r="E127" s="57"/>
      <c r="F127" s="64">
        <v>-27.85</v>
      </c>
      <c r="G127" s="64"/>
      <c r="H127" s="57"/>
      <c r="I127" s="57"/>
      <c r="J127" s="64"/>
      <c r="K127" s="64"/>
      <c r="L127" s="30"/>
      <c r="M127" s="3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9.5" hidden="1" customHeight="1">
      <c r="A128" s="26">
        <v>43944.0</v>
      </c>
      <c r="B128" s="57"/>
      <c r="C128" s="57"/>
      <c r="D128" s="57"/>
      <c r="E128" s="57"/>
      <c r="F128" s="64"/>
      <c r="G128" s="64">
        <v>-304.54</v>
      </c>
      <c r="H128" s="57"/>
      <c r="I128" s="57"/>
      <c r="J128" s="64"/>
      <c r="K128" s="64"/>
      <c r="L128" s="30"/>
      <c r="M128" s="3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9.5" hidden="1" customHeight="1">
      <c r="A129" s="26">
        <v>43945.0</v>
      </c>
      <c r="B129" s="57"/>
      <c r="C129" s="57"/>
      <c r="D129" s="57"/>
      <c r="E129" s="57"/>
      <c r="F129" s="64"/>
      <c r="G129" s="64"/>
      <c r="H129" s="57"/>
      <c r="I129" s="57"/>
      <c r="J129" s="57"/>
      <c r="K129" s="64"/>
      <c r="L129" s="30"/>
      <c r="M129" s="3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9.5" hidden="1" customHeight="1">
      <c r="A130" s="26">
        <v>43946.0</v>
      </c>
      <c r="B130" s="57"/>
      <c r="C130" s="57"/>
      <c r="D130" s="57"/>
      <c r="E130" s="57"/>
      <c r="F130" s="64">
        <v>-4.2</v>
      </c>
      <c r="G130" s="64"/>
      <c r="H130" s="57"/>
      <c r="I130" s="57"/>
      <c r="J130" s="57"/>
      <c r="K130" s="64"/>
      <c r="L130" s="30"/>
      <c r="M130" s="3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9.5" hidden="1" customHeight="1">
      <c r="A131" s="26">
        <v>43947.0</v>
      </c>
      <c r="B131" s="57"/>
      <c r="C131" s="57"/>
      <c r="D131" s="57"/>
      <c r="E131" s="64">
        <v>-29.19</v>
      </c>
      <c r="F131" s="64">
        <f>-sum(12,14.95)</f>
        <v>-26.95</v>
      </c>
      <c r="G131" s="57"/>
      <c r="H131" s="57"/>
      <c r="I131" s="57"/>
      <c r="J131" s="64">
        <v>-81.58</v>
      </c>
      <c r="K131" s="57"/>
      <c r="L131" s="30"/>
      <c r="M131" s="3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9.5" hidden="1" customHeight="1">
      <c r="A132" s="26">
        <v>43948.0</v>
      </c>
      <c r="B132" s="57"/>
      <c r="C132" s="57"/>
      <c r="D132" s="57"/>
      <c r="E132" s="57"/>
      <c r="F132" s="64">
        <f>-sum(52.8,43.19)</f>
        <v>-95.99</v>
      </c>
      <c r="G132" s="57"/>
      <c r="H132" s="57"/>
      <c r="I132" s="57"/>
      <c r="J132" s="57"/>
      <c r="K132" s="57"/>
      <c r="L132" s="30"/>
      <c r="M132" s="3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9.5" hidden="1" customHeight="1">
      <c r="A133" s="26">
        <v>43949.0</v>
      </c>
      <c r="B133" s="57"/>
      <c r="C133" s="57"/>
      <c r="D133" s="57"/>
      <c r="E133" s="57"/>
      <c r="F133" s="57">
        <f>-sum(19.5)</f>
        <v>-19.5</v>
      </c>
      <c r="G133" s="57"/>
      <c r="H133" s="57"/>
      <c r="I133" s="57"/>
      <c r="J133" s="57"/>
      <c r="K133" s="57"/>
      <c r="L133" s="30"/>
      <c r="M133" s="3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9.5" hidden="1" customHeight="1">
      <c r="A134" s="26">
        <v>43950.0</v>
      </c>
      <c r="B134" s="57"/>
      <c r="C134" s="57"/>
      <c r="D134" s="57"/>
      <c r="E134" s="57"/>
      <c r="F134" s="57">
        <f>-sum(12.4,4.35,66.57,23.33,1.85,14.1,6.2,19.96,33.7)</f>
        <v>-182.46</v>
      </c>
      <c r="G134" s="57"/>
      <c r="H134" s="57"/>
      <c r="I134" s="57"/>
      <c r="J134" s="57"/>
      <c r="K134" s="64">
        <v>-29.75</v>
      </c>
      <c r="L134" s="30"/>
      <c r="M134" s="3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9.5" hidden="1" customHeight="1">
      <c r="A135" s="26">
        <v>43951.0</v>
      </c>
      <c r="B135" s="57"/>
      <c r="C135" s="57"/>
      <c r="D135" s="57"/>
      <c r="E135" s="64"/>
      <c r="F135" s="64"/>
      <c r="G135" s="64"/>
      <c r="H135" s="57"/>
      <c r="I135" s="57"/>
      <c r="J135" s="57"/>
      <c r="K135" s="64"/>
      <c r="L135" s="30"/>
      <c r="M135" s="3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9.5" hidden="1" customHeight="1">
      <c r="A136" s="26">
        <v>43952.0</v>
      </c>
      <c r="B136" s="57"/>
      <c r="C136" s="57"/>
      <c r="D136" s="57"/>
      <c r="E136" s="57"/>
      <c r="F136" s="64">
        <v>-14.41</v>
      </c>
      <c r="G136" s="57"/>
      <c r="H136" s="57"/>
      <c r="I136" s="57"/>
      <c r="J136" s="57"/>
      <c r="K136" s="57"/>
      <c r="L136" s="30"/>
      <c r="M136" s="3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9.5" hidden="1" customHeight="1">
      <c r="A137" s="26">
        <v>43953.0</v>
      </c>
      <c r="B137" s="57"/>
      <c r="C137" s="57"/>
      <c r="D137" s="57"/>
      <c r="E137" s="57"/>
      <c r="F137" s="64">
        <f>-sum(23.4,3.6)</f>
        <v>-27</v>
      </c>
      <c r="G137" s="64">
        <v>-35.0</v>
      </c>
      <c r="H137" s="57"/>
      <c r="I137" s="57"/>
      <c r="J137" s="64"/>
      <c r="K137" s="64"/>
      <c r="L137" s="30"/>
      <c r="M137" s="3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9.5" hidden="1" customHeight="1">
      <c r="A138" s="26">
        <v>43954.0</v>
      </c>
      <c r="B138" s="57"/>
      <c r="C138" s="57"/>
      <c r="D138" s="57"/>
      <c r="E138" s="57"/>
      <c r="F138" s="64">
        <f>-sum(18.95)</f>
        <v>-18.95</v>
      </c>
      <c r="G138" s="57"/>
      <c r="H138" s="57"/>
      <c r="I138" s="57"/>
      <c r="J138" s="57"/>
      <c r="K138" s="57"/>
      <c r="L138" s="30"/>
      <c r="M138" s="3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9.5" hidden="1" customHeight="1">
      <c r="A139" s="26">
        <v>43955.0</v>
      </c>
      <c r="B139" s="57"/>
      <c r="C139" s="57"/>
      <c r="D139" s="57"/>
      <c r="E139" s="57"/>
      <c r="F139" s="57">
        <f>-sum(50,5.6,19.65,16.5,15.74)</f>
        <v>-107.49</v>
      </c>
      <c r="G139" s="57"/>
      <c r="H139" s="57"/>
      <c r="I139" s="57"/>
      <c r="J139" s="57"/>
      <c r="K139" s="64">
        <v>-829.0</v>
      </c>
      <c r="L139" s="30"/>
      <c r="M139" s="3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9.5" hidden="1" customHeight="1">
      <c r="A140" s="26">
        <v>43956.0</v>
      </c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30"/>
      <c r="M140" s="3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9.5" hidden="1" customHeight="1">
      <c r="A141" s="26">
        <v>43957.0</v>
      </c>
      <c r="B141" s="57"/>
      <c r="C141" s="57"/>
      <c r="D141" s="57"/>
      <c r="E141" s="57"/>
      <c r="F141" s="64">
        <v>-23.0</v>
      </c>
      <c r="G141" s="57"/>
      <c r="H141" s="57"/>
      <c r="I141" s="57"/>
      <c r="J141" s="57"/>
      <c r="K141" s="57"/>
      <c r="L141" s="30"/>
      <c r="M141" s="3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9.5" hidden="1" customHeight="1">
      <c r="A142" s="26">
        <v>43958.0</v>
      </c>
      <c r="B142" s="57"/>
      <c r="C142" s="57"/>
      <c r="D142" s="57"/>
      <c r="E142" s="57"/>
      <c r="F142" s="64">
        <v>-25.3</v>
      </c>
      <c r="G142" s="57"/>
      <c r="H142" s="57"/>
      <c r="I142" s="57"/>
      <c r="J142" s="57"/>
      <c r="K142" s="57"/>
      <c r="L142" s="30"/>
      <c r="M142" s="3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9.5" hidden="1" customHeight="1">
      <c r="A143" s="26">
        <v>43959.0</v>
      </c>
      <c r="B143" s="57"/>
      <c r="C143" s="57"/>
      <c r="D143" s="57"/>
      <c r="E143" s="57"/>
      <c r="F143" s="64">
        <v>-41.47</v>
      </c>
      <c r="G143" s="57"/>
      <c r="H143" s="57"/>
      <c r="I143" s="57"/>
      <c r="J143" s="57"/>
      <c r="K143" s="57"/>
      <c r="L143" s="30"/>
      <c r="M143" s="3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9.5" hidden="1" customHeight="1">
      <c r="A144" s="26">
        <v>43960.0</v>
      </c>
      <c r="B144" s="57"/>
      <c r="C144" s="57"/>
      <c r="D144" s="57"/>
      <c r="E144" s="64">
        <v>-20.66</v>
      </c>
      <c r="F144" s="64">
        <f>-sum(14.61,43.7,26.31,4.7)</f>
        <v>-89.32</v>
      </c>
      <c r="G144" s="57"/>
      <c r="H144" s="57"/>
      <c r="I144" s="57"/>
      <c r="J144" s="57"/>
      <c r="K144" s="64">
        <v>-30.0</v>
      </c>
      <c r="L144" s="30"/>
      <c r="M144" s="3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9.5" hidden="1" customHeight="1">
      <c r="A145" s="26">
        <v>43961.0</v>
      </c>
      <c r="B145" s="57"/>
      <c r="C145" s="57"/>
      <c r="D145" s="57"/>
      <c r="E145" s="57"/>
      <c r="F145" s="64"/>
      <c r="G145" s="57"/>
      <c r="H145" s="57"/>
      <c r="I145" s="57"/>
      <c r="J145" s="57"/>
      <c r="K145" s="64">
        <v>-5.0</v>
      </c>
      <c r="L145" s="30"/>
      <c r="M145" s="3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9.5" hidden="1" customHeight="1">
      <c r="A146" s="26">
        <v>43962.0</v>
      </c>
      <c r="B146" s="57"/>
      <c r="C146" s="57"/>
      <c r="D146" s="57"/>
      <c r="E146" s="57"/>
      <c r="F146" s="64"/>
      <c r="G146" s="57"/>
      <c r="H146" s="57"/>
      <c r="I146" s="57"/>
      <c r="J146" s="57"/>
      <c r="K146" s="57"/>
      <c r="L146" s="30"/>
      <c r="M146" s="3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9.5" hidden="1" customHeight="1">
      <c r="A147" s="26">
        <v>43963.0</v>
      </c>
      <c r="B147" s="57"/>
      <c r="C147" s="57"/>
      <c r="D147" s="57"/>
      <c r="E147" s="57"/>
      <c r="F147" s="64">
        <f>-sum(3.9,5.5,14.95)</f>
        <v>-24.35</v>
      </c>
      <c r="G147" s="64"/>
      <c r="H147" s="57"/>
      <c r="I147" s="57"/>
      <c r="J147" s="57"/>
      <c r="K147" s="64"/>
      <c r="L147" s="30"/>
      <c r="M147" s="3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9.5" hidden="1" customHeight="1">
      <c r="A148" s="26">
        <v>43964.0</v>
      </c>
      <c r="B148" s="57"/>
      <c r="C148" s="57"/>
      <c r="D148" s="57"/>
      <c r="E148" s="57"/>
      <c r="F148" s="64">
        <v>-47.27</v>
      </c>
      <c r="G148" s="57"/>
      <c r="H148" s="57"/>
      <c r="I148" s="57"/>
      <c r="J148" s="57"/>
      <c r="K148" s="57"/>
      <c r="L148" s="30"/>
      <c r="M148" s="3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9.5" hidden="1" customHeight="1">
      <c r="A149" s="26">
        <v>43965.0</v>
      </c>
      <c r="B149" s="57"/>
      <c r="C149" s="57"/>
      <c r="D149" s="57"/>
      <c r="E149" s="64">
        <v>-32.34</v>
      </c>
      <c r="F149" s="57">
        <f>-sum(93.28,10)</f>
        <v>-103.28</v>
      </c>
      <c r="G149" s="57"/>
      <c r="H149" s="57"/>
      <c r="I149" s="57"/>
      <c r="J149" s="57"/>
      <c r="K149" s="57"/>
      <c r="L149" s="30"/>
      <c r="M149" s="3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9.5" hidden="1" customHeight="1">
      <c r="A150" s="26">
        <v>43966.0</v>
      </c>
      <c r="B150" s="57"/>
      <c r="C150" s="57"/>
      <c r="D150" s="57"/>
      <c r="E150" s="57"/>
      <c r="F150" s="57">
        <f>-sum(30.3,3.2,5)</f>
        <v>-38.5</v>
      </c>
      <c r="G150" s="57"/>
      <c r="H150" s="57"/>
      <c r="I150" s="57"/>
      <c r="J150" s="57"/>
      <c r="K150" s="64">
        <v>-25.0</v>
      </c>
      <c r="L150" s="30"/>
      <c r="M150" s="3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9.5" hidden="1" customHeight="1">
      <c r="A151" s="26">
        <v>43967.0</v>
      </c>
      <c r="B151" s="57"/>
      <c r="C151" s="57"/>
      <c r="D151" s="57"/>
      <c r="E151" s="57"/>
      <c r="F151" s="64">
        <v>-22.89</v>
      </c>
      <c r="G151" s="57"/>
      <c r="H151" s="57"/>
      <c r="I151" s="57"/>
      <c r="J151" s="57"/>
      <c r="K151" s="57"/>
      <c r="L151" s="30"/>
      <c r="M151" s="3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9.5" hidden="1" customHeight="1">
      <c r="A152" s="26">
        <v>43968.0</v>
      </c>
      <c r="B152" s="57"/>
      <c r="C152" s="57"/>
      <c r="D152" s="57"/>
      <c r="E152" s="57"/>
      <c r="F152" s="64">
        <f>-sum(13.5,7.52)</f>
        <v>-21.02</v>
      </c>
      <c r="G152" s="57"/>
      <c r="H152" s="57"/>
      <c r="I152" s="57"/>
      <c r="J152" s="57"/>
      <c r="K152" s="64">
        <f>-sum(122.65,213,10)</f>
        <v>-345.65</v>
      </c>
      <c r="L152" s="30"/>
      <c r="M152" s="3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9.5" hidden="1" customHeight="1">
      <c r="A153" s="26">
        <v>43969.0</v>
      </c>
      <c r="B153" s="57"/>
      <c r="C153" s="57"/>
      <c r="D153" s="57"/>
      <c r="E153" s="57"/>
      <c r="F153" s="64">
        <f>-sum(23.69,29.9,2.8)</f>
        <v>-56.39</v>
      </c>
      <c r="G153" s="57"/>
      <c r="H153" s="57"/>
      <c r="I153" s="57"/>
      <c r="J153" s="57"/>
      <c r="K153" s="57">
        <f>-sum(30,5,607.16)</f>
        <v>-642.16</v>
      </c>
      <c r="L153" s="30"/>
      <c r="M153" s="3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9.5" hidden="1" customHeight="1">
      <c r="A154" s="26">
        <v>43970.0</v>
      </c>
      <c r="B154" s="57"/>
      <c r="C154" s="57"/>
      <c r="D154" s="57"/>
      <c r="E154" s="64">
        <v>-34.04</v>
      </c>
      <c r="F154" s="57"/>
      <c r="G154" s="57"/>
      <c r="H154" s="57"/>
      <c r="I154" s="57"/>
      <c r="J154" s="57"/>
      <c r="K154" s="57"/>
      <c r="L154" s="30"/>
      <c r="M154" s="3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9.5" hidden="1" customHeight="1">
      <c r="A155" s="26">
        <v>43971.0</v>
      </c>
      <c r="B155" s="57"/>
      <c r="C155" s="57"/>
      <c r="D155" s="57"/>
      <c r="E155" s="57"/>
      <c r="F155" s="64">
        <f>-sum(19.5,5.5,28.85)</f>
        <v>-53.85</v>
      </c>
      <c r="G155" s="57"/>
      <c r="H155" s="57"/>
      <c r="I155" s="57"/>
      <c r="J155" s="57"/>
      <c r="K155" s="64">
        <f>-sum(512,10.56)</f>
        <v>-522.56</v>
      </c>
      <c r="L155" s="30"/>
      <c r="M155" s="3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9.5" hidden="1" customHeight="1">
      <c r="A156" s="26">
        <v>43972.0</v>
      </c>
      <c r="B156" s="57"/>
      <c r="C156" s="57"/>
      <c r="D156" s="57"/>
      <c r="E156" s="57"/>
      <c r="F156" s="64">
        <f>-sum(30.72,14)</f>
        <v>-44.72</v>
      </c>
      <c r="G156" s="57"/>
      <c r="H156" s="57"/>
      <c r="I156" s="57"/>
      <c r="J156" s="64">
        <v>-110.15</v>
      </c>
      <c r="K156" s="57"/>
      <c r="L156" s="30"/>
      <c r="M156" s="3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9.5" hidden="1" customHeight="1">
      <c r="A157" s="26">
        <v>43973.0</v>
      </c>
      <c r="B157" s="57"/>
      <c r="C157" s="57"/>
      <c r="D157" s="57"/>
      <c r="E157" s="57"/>
      <c r="F157" s="57"/>
      <c r="G157" s="57"/>
      <c r="H157" s="57"/>
      <c r="I157" s="57"/>
      <c r="J157" s="57"/>
      <c r="K157" s="64">
        <v>-105.0</v>
      </c>
      <c r="L157" s="30"/>
      <c r="M157" s="3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9.5" hidden="1" customHeight="1">
      <c r="A158" s="26">
        <v>43974.0</v>
      </c>
      <c r="B158" s="57"/>
      <c r="C158" s="57"/>
      <c r="D158" s="57"/>
      <c r="E158" s="64"/>
      <c r="F158" s="64">
        <f>-sum(15.45,10.43,16.23,4.03)</f>
        <v>-46.14</v>
      </c>
      <c r="G158" s="57"/>
      <c r="H158" s="64">
        <v>-175.0</v>
      </c>
      <c r="I158" s="57"/>
      <c r="J158" s="64">
        <v>-210.95</v>
      </c>
      <c r="K158" s="57"/>
      <c r="L158" s="30"/>
      <c r="M158" s="3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9.5" hidden="1" customHeight="1">
      <c r="A159" s="26">
        <v>43975.0</v>
      </c>
      <c r="B159" s="57"/>
      <c r="C159" s="57"/>
      <c r="D159" s="57"/>
      <c r="E159" s="64">
        <v>-35.63</v>
      </c>
      <c r="F159" s="57"/>
      <c r="G159" s="57"/>
      <c r="H159" s="57"/>
      <c r="I159" s="57"/>
      <c r="J159" s="57"/>
      <c r="K159" s="57"/>
      <c r="L159" s="30"/>
      <c r="M159" s="3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9.5" hidden="1" customHeight="1">
      <c r="A160" s="26">
        <v>43976.0</v>
      </c>
      <c r="B160" s="57"/>
      <c r="C160" s="57"/>
      <c r="D160" s="57"/>
      <c r="E160" s="57"/>
      <c r="F160" s="64">
        <v>-19.97</v>
      </c>
      <c r="G160" s="57"/>
      <c r="H160" s="57"/>
      <c r="I160" s="57"/>
      <c r="J160" s="57"/>
      <c r="K160" s="57"/>
      <c r="L160" s="30"/>
      <c r="M160" s="3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9.5" hidden="1" customHeight="1">
      <c r="A161" s="26">
        <v>43977.0</v>
      </c>
      <c r="B161" s="57"/>
      <c r="C161" s="57"/>
      <c r="D161" s="57"/>
      <c r="E161" s="57"/>
      <c r="F161" s="57">
        <f>-sum(33,1.21)</f>
        <v>-34.21</v>
      </c>
      <c r="G161" s="57"/>
      <c r="H161" s="57"/>
      <c r="I161" s="57"/>
      <c r="J161" s="57"/>
      <c r="K161" s="57"/>
      <c r="L161" s="30"/>
      <c r="M161" s="3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9.5" hidden="1" customHeight="1">
      <c r="A162" s="26">
        <v>43978.0</v>
      </c>
      <c r="B162" s="57"/>
      <c r="C162" s="57"/>
      <c r="D162" s="57"/>
      <c r="E162" s="57"/>
      <c r="F162" s="57">
        <f>-sum(18.48,32.16)</f>
        <v>-50.64</v>
      </c>
      <c r="G162" s="57"/>
      <c r="H162" s="57"/>
      <c r="I162" s="57"/>
      <c r="J162" s="64">
        <v>-67.0</v>
      </c>
      <c r="K162" s="57"/>
      <c r="L162" s="30"/>
      <c r="M162" s="3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9.5" hidden="1" customHeight="1">
      <c r="A163" s="26">
        <v>43979.0</v>
      </c>
      <c r="B163" s="57"/>
      <c r="C163" s="57"/>
      <c r="D163" s="57"/>
      <c r="E163" s="57"/>
      <c r="F163" s="64">
        <v>-14.63</v>
      </c>
      <c r="G163" s="57"/>
      <c r="H163" s="57"/>
      <c r="I163" s="57"/>
      <c r="J163" s="64">
        <v>-113.33</v>
      </c>
      <c r="K163" s="57">
        <f>-sum(19,12.85)</f>
        <v>-31.85</v>
      </c>
      <c r="L163" s="30"/>
      <c r="M163" s="3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9.5" hidden="1" customHeight="1">
      <c r="A164" s="26">
        <v>43980.0</v>
      </c>
      <c r="B164" s="57"/>
      <c r="C164" s="57"/>
      <c r="D164" s="57"/>
      <c r="E164" s="64">
        <v>-37.91</v>
      </c>
      <c r="F164" s="57"/>
      <c r="G164" s="57"/>
      <c r="H164" s="57"/>
      <c r="I164" s="57"/>
      <c r="J164" s="57"/>
      <c r="K164" s="57"/>
      <c r="L164" s="30"/>
      <c r="M164" s="3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9.5" hidden="1" customHeight="1">
      <c r="A165" s="26">
        <v>43981.0</v>
      </c>
      <c r="B165" s="57"/>
      <c r="C165" s="57"/>
      <c r="D165" s="57"/>
      <c r="E165" s="57"/>
      <c r="F165" s="64">
        <v>-14.4</v>
      </c>
      <c r="G165" s="57"/>
      <c r="H165" s="57"/>
      <c r="I165" s="57"/>
      <c r="J165" s="57"/>
      <c r="K165" s="57"/>
      <c r="L165" s="30"/>
      <c r="M165" s="3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9.5" hidden="1" customHeight="1">
      <c r="A166" s="26">
        <v>43982.0</v>
      </c>
      <c r="B166" s="57"/>
      <c r="C166" s="57"/>
      <c r="D166" s="57"/>
      <c r="E166" s="57"/>
      <c r="F166" s="64">
        <v>-41.19</v>
      </c>
      <c r="G166" s="64"/>
      <c r="H166" s="57"/>
      <c r="I166" s="57"/>
      <c r="J166" s="57"/>
      <c r="K166" s="57"/>
      <c r="L166" s="30"/>
      <c r="M166" s="3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9.5" hidden="1" customHeight="1">
      <c r="A167" s="26">
        <v>43983.0</v>
      </c>
      <c r="B167" s="57"/>
      <c r="C167" s="57"/>
      <c r="D167" s="57"/>
      <c r="E167" s="57"/>
      <c r="F167" s="64">
        <f>-sum(2.7,36.96)</f>
        <v>-39.66</v>
      </c>
      <c r="G167" s="57"/>
      <c r="H167" s="57"/>
      <c r="I167" s="57"/>
      <c r="J167" s="57"/>
      <c r="K167" s="57"/>
      <c r="L167" s="30"/>
      <c r="M167" s="3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9.5" hidden="1" customHeight="1">
      <c r="A168" s="26">
        <v>43984.0</v>
      </c>
      <c r="B168" s="57"/>
      <c r="C168" s="57"/>
      <c r="D168" s="57"/>
      <c r="E168" s="57"/>
      <c r="F168" s="64"/>
      <c r="G168" s="64">
        <v>-35.0</v>
      </c>
      <c r="H168" s="57"/>
      <c r="I168" s="57"/>
      <c r="J168" s="57"/>
      <c r="K168" s="57"/>
      <c r="L168" s="30"/>
      <c r="M168" s="3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9.5" hidden="1" customHeight="1">
      <c r="A169" s="26">
        <v>43985.0</v>
      </c>
      <c r="B169" s="57"/>
      <c r="C169" s="57"/>
      <c r="D169" s="57"/>
      <c r="E169" s="57"/>
      <c r="F169" s="64">
        <f>-sum(38.58,35.9,4.6,31.23)</f>
        <v>-110.31</v>
      </c>
      <c r="G169" s="57"/>
      <c r="H169" s="64">
        <v>-414.0</v>
      </c>
      <c r="I169" s="57"/>
      <c r="J169" s="57"/>
      <c r="K169" s="57">
        <f>-sum(9.95,4.9,45.09)</f>
        <v>-59.94</v>
      </c>
      <c r="L169" s="30"/>
      <c r="M169" s="3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9.5" hidden="1" customHeight="1">
      <c r="A170" s="26">
        <v>43986.0</v>
      </c>
      <c r="B170" s="57"/>
      <c r="C170" s="57"/>
      <c r="D170" s="57"/>
      <c r="E170" s="57"/>
      <c r="F170" s="64">
        <f>-sum(28,37.02,11.72)</f>
        <v>-76.74</v>
      </c>
      <c r="G170" s="57"/>
      <c r="H170" s="57"/>
      <c r="I170" s="57"/>
      <c r="J170" s="57"/>
      <c r="K170" s="64">
        <v>-1.5</v>
      </c>
      <c r="L170" s="30"/>
      <c r="M170" s="3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9.5" hidden="1" customHeight="1">
      <c r="A171" s="26">
        <v>43987.0</v>
      </c>
      <c r="B171" s="57"/>
      <c r="C171" s="57"/>
      <c r="D171" s="57"/>
      <c r="E171" s="64">
        <v>-29.21</v>
      </c>
      <c r="F171" s="57"/>
      <c r="G171" s="57"/>
      <c r="H171" s="57"/>
      <c r="I171" s="57"/>
      <c r="J171" s="57"/>
      <c r="K171" s="57"/>
      <c r="L171" s="30"/>
      <c r="M171" s="3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9.5" hidden="1" customHeight="1">
      <c r="A172" s="26">
        <v>43988.0</v>
      </c>
      <c r="B172" s="57"/>
      <c r="C172" s="57"/>
      <c r="D172" s="57"/>
      <c r="E172" s="57"/>
      <c r="F172" s="64">
        <f>-sum(2.1,16.82,14.75)</f>
        <v>-33.67</v>
      </c>
      <c r="G172" s="57"/>
      <c r="H172" s="57"/>
      <c r="I172" s="57"/>
      <c r="J172" s="57"/>
      <c r="K172" s="64">
        <v>-15.0</v>
      </c>
      <c r="L172" s="30"/>
      <c r="M172" s="3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9.5" hidden="1" customHeight="1">
      <c r="A173" s="26">
        <v>43989.0</v>
      </c>
      <c r="B173" s="57"/>
      <c r="C173" s="57"/>
      <c r="D173" s="57"/>
      <c r="E173" s="57"/>
      <c r="F173" s="64">
        <v>-52.35</v>
      </c>
      <c r="G173" s="57"/>
      <c r="H173" s="57"/>
      <c r="I173" s="57"/>
      <c r="J173" s="57"/>
      <c r="K173" s="57"/>
      <c r="L173" s="30"/>
      <c r="M173" s="3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9.5" hidden="1" customHeight="1">
      <c r="A174" s="26">
        <v>43990.0</v>
      </c>
      <c r="B174" s="57"/>
      <c r="C174" s="57"/>
      <c r="D174" s="57"/>
      <c r="E174" s="57"/>
      <c r="F174" s="64">
        <v>-14.2</v>
      </c>
      <c r="G174" s="57"/>
      <c r="H174" s="57"/>
      <c r="I174" s="57"/>
      <c r="J174" s="57"/>
      <c r="K174" s="57"/>
      <c r="L174" s="30"/>
      <c r="M174" s="3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9.5" hidden="1" customHeight="1">
      <c r="A175" s="26">
        <v>43991.0</v>
      </c>
      <c r="B175" s="57"/>
      <c r="C175" s="57"/>
      <c r="D175" s="57"/>
      <c r="E175" s="64">
        <v>-29.95</v>
      </c>
      <c r="F175" s="64">
        <f>-sum(11.01)</f>
        <v>-11.01</v>
      </c>
      <c r="G175" s="57"/>
      <c r="H175" s="57"/>
      <c r="I175" s="57"/>
      <c r="J175" s="57"/>
      <c r="K175" s="64">
        <v>-24.0</v>
      </c>
      <c r="L175" s="30"/>
      <c r="M175" s="3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9.5" hidden="1" customHeight="1">
      <c r="A176" s="26">
        <v>43992.0</v>
      </c>
      <c r="B176" s="57"/>
      <c r="C176" s="57"/>
      <c r="D176" s="57"/>
      <c r="E176" s="57"/>
      <c r="F176" s="57">
        <f>-sum(10.2,10,7.1,6,24.09,5.88,2.35,24.61)</f>
        <v>-90.23</v>
      </c>
      <c r="G176" s="57"/>
      <c r="H176" s="57"/>
      <c r="I176" s="57"/>
      <c r="J176" s="57"/>
      <c r="K176" s="57"/>
      <c r="L176" s="30"/>
      <c r="M176" s="3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9.5" hidden="1" customHeight="1">
      <c r="A177" s="26">
        <v>43993.0</v>
      </c>
      <c r="B177" s="57"/>
      <c r="C177" s="57"/>
      <c r="D177" s="57"/>
      <c r="E177" s="64"/>
      <c r="F177" s="57"/>
      <c r="G177" s="57"/>
      <c r="H177" s="57"/>
      <c r="I177" s="57"/>
      <c r="J177" s="57"/>
      <c r="K177" s="57"/>
      <c r="L177" s="30"/>
      <c r="M177" s="3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9.5" hidden="1" customHeight="1">
      <c r="A178" s="26">
        <v>43994.0</v>
      </c>
      <c r="B178" s="57"/>
      <c r="C178" s="57"/>
      <c r="D178" s="57"/>
      <c r="E178" s="57"/>
      <c r="F178" s="64">
        <f>-sum(10.96,10.56,5,19,12.86,12.23,46.05,2.7)</f>
        <v>-119.36</v>
      </c>
      <c r="G178" s="57"/>
      <c r="H178" s="57"/>
      <c r="I178" s="57"/>
      <c r="J178" s="57"/>
      <c r="K178" s="57"/>
      <c r="L178" s="30"/>
      <c r="M178" s="3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9.5" hidden="1" customHeight="1">
      <c r="A179" s="26">
        <v>43995.0</v>
      </c>
      <c r="B179" s="57"/>
      <c r="C179" s="57"/>
      <c r="D179" s="57"/>
      <c r="E179" s="57"/>
      <c r="F179" s="64">
        <v>-3.5</v>
      </c>
      <c r="G179" s="64"/>
      <c r="H179" s="57"/>
      <c r="I179" s="57"/>
      <c r="J179" s="57"/>
      <c r="K179" s="57"/>
      <c r="L179" s="30"/>
      <c r="M179" s="3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9.5" hidden="1" customHeight="1">
      <c r="A180" s="26">
        <v>43996.0</v>
      </c>
      <c r="B180" s="57"/>
      <c r="C180" s="57"/>
      <c r="D180" s="57"/>
      <c r="E180" s="57"/>
      <c r="F180" s="57">
        <f>-sum(37,4.54,8.8)</f>
        <v>-50.34</v>
      </c>
      <c r="G180" s="57"/>
      <c r="H180" s="57"/>
      <c r="I180" s="57"/>
      <c r="J180" s="57"/>
      <c r="K180" s="57"/>
      <c r="L180" s="30"/>
      <c r="M180" s="3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9.5" hidden="1" customHeight="1">
      <c r="A181" s="26">
        <v>43997.0</v>
      </c>
      <c r="B181" s="57"/>
      <c r="C181" s="57"/>
      <c r="D181" s="57"/>
      <c r="E181" s="57"/>
      <c r="F181" s="64">
        <f>-sum(13.2,3,4.5)</f>
        <v>-20.7</v>
      </c>
      <c r="G181" s="57"/>
      <c r="H181" s="57"/>
      <c r="I181" s="57"/>
      <c r="J181" s="57"/>
      <c r="K181" s="57"/>
      <c r="L181" s="30"/>
      <c r="M181" s="3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9.5" hidden="1" customHeight="1">
      <c r="A182" s="26">
        <v>43998.0</v>
      </c>
      <c r="B182" s="57"/>
      <c r="C182" s="57"/>
      <c r="D182" s="57"/>
      <c r="E182" s="57"/>
      <c r="F182" s="64">
        <f>-sum(5.6,61.63)</f>
        <v>-67.23</v>
      </c>
      <c r="G182" s="57"/>
      <c r="H182" s="57"/>
      <c r="I182" s="57"/>
      <c r="J182" s="57"/>
      <c r="K182" s="57"/>
      <c r="L182" s="30"/>
      <c r="M182" s="3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9.5" hidden="1" customHeight="1">
      <c r="A183" s="26">
        <v>43999.0</v>
      </c>
      <c r="B183" s="57"/>
      <c r="C183" s="57"/>
      <c r="D183" s="57"/>
      <c r="E183" s="57"/>
      <c r="F183" s="64">
        <v>-40.38</v>
      </c>
      <c r="G183" s="57"/>
      <c r="H183" s="57"/>
      <c r="I183" s="57"/>
      <c r="J183" s="57"/>
      <c r="K183" s="57"/>
      <c r="L183" s="30"/>
      <c r="M183" s="3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9.5" hidden="1" customHeight="1">
      <c r="A184" s="26">
        <v>44000.0</v>
      </c>
      <c r="B184" s="57"/>
      <c r="C184" s="57"/>
      <c r="D184" s="57"/>
      <c r="E184" s="57"/>
      <c r="F184" s="64">
        <v>-10.0</v>
      </c>
      <c r="G184" s="57"/>
      <c r="H184" s="57"/>
      <c r="I184" s="57"/>
      <c r="J184" s="57"/>
      <c r="K184" s="57"/>
      <c r="L184" s="30"/>
      <c r="M184" s="3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9.5" hidden="1" customHeight="1">
      <c r="A185" s="26">
        <v>44001.0</v>
      </c>
      <c r="B185" s="57"/>
      <c r="C185" s="57"/>
      <c r="D185" s="57"/>
      <c r="E185" s="64">
        <v>-35.41</v>
      </c>
      <c r="F185" s="57">
        <f>-sum(18.85)</f>
        <v>-18.85</v>
      </c>
      <c r="G185" s="57"/>
      <c r="H185" s="57"/>
      <c r="I185" s="57"/>
      <c r="J185" s="57"/>
      <c r="K185" s="57"/>
      <c r="L185" s="30"/>
      <c r="M185" s="3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9.5" hidden="1" customHeight="1">
      <c r="A186" s="26">
        <v>44002.0</v>
      </c>
      <c r="B186" s="57"/>
      <c r="C186" s="57"/>
      <c r="D186" s="57"/>
      <c r="E186" s="57"/>
      <c r="F186" s="64">
        <v>-71.32</v>
      </c>
      <c r="G186" s="57"/>
      <c r="H186" s="57"/>
      <c r="I186" s="57"/>
      <c r="J186" s="57"/>
      <c r="K186" s="57"/>
      <c r="L186" s="30"/>
      <c r="M186" s="3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9.5" hidden="1" customHeight="1">
      <c r="A187" s="26">
        <v>44003.0</v>
      </c>
      <c r="B187" s="57"/>
      <c r="C187" s="57"/>
      <c r="D187" s="57"/>
      <c r="E187" s="57"/>
      <c r="F187" s="64">
        <v>-47.13</v>
      </c>
      <c r="G187" s="57"/>
      <c r="H187" s="57"/>
      <c r="I187" s="57"/>
      <c r="J187" s="57"/>
      <c r="K187" s="57"/>
      <c r="L187" s="30"/>
      <c r="M187" s="3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9.5" hidden="1" customHeight="1">
      <c r="A188" s="26">
        <v>44004.0</v>
      </c>
      <c r="B188" s="57"/>
      <c r="C188" s="57"/>
      <c r="D188" s="57"/>
      <c r="E188" s="57"/>
      <c r="F188" s="57">
        <f>-sum(7.76,10.2)</f>
        <v>-17.96</v>
      </c>
      <c r="G188" s="57"/>
      <c r="H188" s="57"/>
      <c r="I188" s="57"/>
      <c r="J188" s="64"/>
      <c r="K188" s="57"/>
      <c r="L188" s="30"/>
      <c r="M188" s="3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9.5" hidden="1" customHeight="1">
      <c r="A189" s="26">
        <v>44005.0</v>
      </c>
      <c r="B189" s="57"/>
      <c r="C189" s="57"/>
      <c r="D189" s="57"/>
      <c r="E189" s="64"/>
      <c r="F189" s="57">
        <f>-sum(26.91,18.31,41.1,4.8,8.34)</f>
        <v>-99.46</v>
      </c>
      <c r="G189" s="57"/>
      <c r="H189" s="57"/>
      <c r="I189" s="57"/>
      <c r="J189" s="64">
        <v>-72.0</v>
      </c>
      <c r="K189" s="57"/>
      <c r="L189" s="30"/>
      <c r="M189" s="3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9.5" hidden="1" customHeight="1">
      <c r="A190" s="26">
        <v>44006.0</v>
      </c>
      <c r="B190" s="57"/>
      <c r="C190" s="57"/>
      <c r="D190" s="57"/>
      <c r="E190" s="64">
        <v>-34.7</v>
      </c>
      <c r="F190" s="64">
        <v>-15.75</v>
      </c>
      <c r="G190" s="64">
        <v>-5.95</v>
      </c>
      <c r="H190" s="57"/>
      <c r="I190" s="57"/>
      <c r="J190" s="57"/>
      <c r="K190" s="57"/>
      <c r="L190" s="30"/>
      <c r="M190" s="3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9.5" hidden="1" customHeight="1">
      <c r="A191" s="26">
        <v>44007.0</v>
      </c>
      <c r="B191" s="57"/>
      <c r="C191" s="57"/>
      <c r="D191" s="57"/>
      <c r="E191" s="57"/>
      <c r="F191" s="64">
        <v>-20.45</v>
      </c>
      <c r="G191" s="57"/>
      <c r="H191" s="57"/>
      <c r="I191" s="57"/>
      <c r="J191" s="57"/>
      <c r="K191" s="57"/>
      <c r="L191" s="30"/>
      <c r="M191" s="3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9.5" hidden="1" customHeight="1">
      <c r="A192" s="26">
        <v>44008.0</v>
      </c>
      <c r="B192" s="57"/>
      <c r="C192" s="57"/>
      <c r="D192" s="57"/>
      <c r="E192" s="57"/>
      <c r="F192" s="64">
        <f>-sum(4,7.5,2.8,3.5,4.2)</f>
        <v>-22</v>
      </c>
      <c r="G192" s="57"/>
      <c r="H192" s="57"/>
      <c r="I192" s="57"/>
      <c r="J192" s="57"/>
      <c r="K192" s="57"/>
      <c r="L192" s="30"/>
      <c r="M192" s="3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9.5" hidden="1" customHeight="1">
      <c r="A193" s="26">
        <v>44009.0</v>
      </c>
      <c r="B193" s="57"/>
      <c r="C193" s="57"/>
      <c r="D193" s="57"/>
      <c r="E193" s="57"/>
      <c r="F193" s="57">
        <f>-sum(43.11,15,5.74,2.1,4,1.3,2,5.5,14.77)</f>
        <v>-93.52</v>
      </c>
      <c r="G193" s="57"/>
      <c r="H193" s="57"/>
      <c r="I193" s="57"/>
      <c r="J193" s="57"/>
      <c r="K193" s="57"/>
      <c r="L193" s="30"/>
      <c r="M193" s="3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9.5" hidden="1" customHeight="1">
      <c r="A194" s="26">
        <v>44010.0</v>
      </c>
      <c r="B194" s="57"/>
      <c r="C194" s="57"/>
      <c r="D194" s="57"/>
      <c r="E194" s="57"/>
      <c r="F194" s="64">
        <f>-sum(15,6,2.2,1.45,25,23.19)</f>
        <v>-72.84</v>
      </c>
      <c r="G194" s="57"/>
      <c r="H194" s="57"/>
      <c r="I194" s="57"/>
      <c r="J194" s="57"/>
      <c r="K194" s="57"/>
      <c r="L194" s="30"/>
      <c r="M194" s="3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9.5" hidden="1" customHeight="1">
      <c r="A195" s="26">
        <v>44011.0</v>
      </c>
      <c r="B195" s="57"/>
      <c r="C195" s="57"/>
      <c r="D195" s="57"/>
      <c r="E195" s="57"/>
      <c r="F195" s="57"/>
      <c r="G195" s="57"/>
      <c r="H195" s="57"/>
      <c r="I195" s="57"/>
      <c r="J195" s="64"/>
      <c r="K195" s="57"/>
      <c r="L195" s="30"/>
      <c r="M195" s="3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9.5" hidden="1" customHeight="1">
      <c r="A196" s="26">
        <v>44012.0</v>
      </c>
      <c r="B196" s="57"/>
      <c r="C196" s="57"/>
      <c r="D196" s="57"/>
      <c r="E196" s="57"/>
      <c r="F196" s="57">
        <f>-sum(8.99,14.5,20.2)</f>
        <v>-43.69</v>
      </c>
      <c r="G196" s="57"/>
      <c r="H196" s="57"/>
      <c r="I196" s="57"/>
      <c r="J196" s="57"/>
      <c r="K196" s="57"/>
      <c r="L196" s="30"/>
      <c r="M196" s="3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idden="1">
      <c r="A197" s="26">
        <v>44013.0</v>
      </c>
      <c r="B197" s="57"/>
      <c r="C197" s="57"/>
      <c r="D197" s="57"/>
      <c r="E197" s="64">
        <v>-31.62</v>
      </c>
      <c r="F197" s="64">
        <v>-98.19</v>
      </c>
      <c r="G197" s="64">
        <v>-70.0</v>
      </c>
      <c r="H197" s="57"/>
      <c r="I197" s="57"/>
      <c r="J197" s="57"/>
      <c r="K197" s="57"/>
      <c r="L197" s="30"/>
      <c r="M197" s="3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idden="1">
      <c r="A198" s="26">
        <v>44014.0</v>
      </c>
      <c r="B198" s="57"/>
      <c r="C198" s="57"/>
      <c r="D198" s="57"/>
      <c r="E198" s="64"/>
      <c r="F198" s="64">
        <f>-sum(18.19,21.22)</f>
        <v>-39.41</v>
      </c>
      <c r="G198" s="57"/>
      <c r="H198" s="57"/>
      <c r="I198" s="57"/>
      <c r="J198" s="57"/>
      <c r="K198" s="57"/>
      <c r="L198" s="30"/>
      <c r="M198" s="3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idden="1">
      <c r="A199" s="26">
        <v>44015.0</v>
      </c>
      <c r="B199" s="57"/>
      <c r="C199" s="57"/>
      <c r="D199" s="57"/>
      <c r="E199" s="64">
        <v>-35.74</v>
      </c>
      <c r="F199" s="57">
        <f>-sum(20.05,2)</f>
        <v>-22.05</v>
      </c>
      <c r="G199" s="57"/>
      <c r="H199" s="57"/>
      <c r="I199" s="57"/>
      <c r="J199" s="57"/>
      <c r="K199" s="57"/>
      <c r="L199" s="30"/>
      <c r="M199" s="3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idden="1">
      <c r="A200" s="26">
        <v>44016.0</v>
      </c>
      <c r="B200" s="57"/>
      <c r="C200" s="57"/>
      <c r="D200" s="57"/>
      <c r="E200" s="57"/>
      <c r="F200" s="64">
        <v>-13.4</v>
      </c>
      <c r="G200" s="57"/>
      <c r="H200" s="57"/>
      <c r="I200" s="57"/>
      <c r="J200" s="57"/>
      <c r="K200" s="57"/>
      <c r="L200" s="30"/>
      <c r="M200" s="3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8.0" hidden="1" customHeight="1">
      <c r="A201" s="26">
        <v>44017.0</v>
      </c>
      <c r="B201" s="57"/>
      <c r="C201" s="57"/>
      <c r="D201" s="57"/>
      <c r="E201" s="57"/>
      <c r="F201" s="64">
        <f>-sum(37,14.4,6,47.82)</f>
        <v>-105.22</v>
      </c>
      <c r="G201" s="57"/>
      <c r="H201" s="57"/>
      <c r="I201" s="57"/>
      <c r="J201" s="64"/>
      <c r="K201" s="57"/>
      <c r="L201" s="30"/>
      <c r="M201" s="3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idden="1">
      <c r="A202" s="26">
        <v>44018.0</v>
      </c>
      <c r="B202" s="57"/>
      <c r="C202" s="57"/>
      <c r="D202" s="57"/>
      <c r="E202" s="57"/>
      <c r="F202" s="64">
        <f>-sum(14.5,6,9.25,21.65,14.69,2.4,8.99)</f>
        <v>-77.48</v>
      </c>
      <c r="G202" s="57"/>
      <c r="H202" s="57"/>
      <c r="I202" s="57"/>
      <c r="J202" s="57"/>
      <c r="K202" s="64">
        <v>-13.0</v>
      </c>
      <c r="L202" s="30"/>
      <c r="M202" s="3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idden="1">
      <c r="A203" s="26">
        <v>44019.0</v>
      </c>
      <c r="B203" s="57"/>
      <c r="C203" s="57"/>
      <c r="D203" s="57"/>
      <c r="E203" s="57"/>
      <c r="F203" s="64">
        <f>-sum(35.5,29.99)</f>
        <v>-65.49</v>
      </c>
      <c r="G203" s="57"/>
      <c r="H203" s="57"/>
      <c r="I203" s="57"/>
      <c r="J203" s="57"/>
      <c r="K203" s="64">
        <v>-49.83</v>
      </c>
      <c r="L203" s="30"/>
      <c r="M203" s="3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idden="1">
      <c r="A204" s="26">
        <v>44020.0</v>
      </c>
      <c r="B204" s="57"/>
      <c r="C204" s="57"/>
      <c r="D204" s="57"/>
      <c r="E204" s="64">
        <v>-38.62</v>
      </c>
      <c r="F204" s="57"/>
      <c r="G204" s="57"/>
      <c r="H204" s="57"/>
      <c r="I204" s="57"/>
      <c r="J204" s="57"/>
      <c r="K204" s="57"/>
      <c r="L204" s="30"/>
      <c r="M204" s="3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idden="1">
      <c r="A205" s="26">
        <v>44021.0</v>
      </c>
      <c r="B205" s="57"/>
      <c r="C205" s="57"/>
      <c r="D205" s="57"/>
      <c r="E205" s="64"/>
      <c r="F205" s="64">
        <v>-16.31</v>
      </c>
      <c r="G205" s="64">
        <v>-251.61</v>
      </c>
      <c r="H205" s="57"/>
      <c r="I205" s="57"/>
      <c r="J205" s="57"/>
      <c r="K205" s="57"/>
      <c r="L205" s="30"/>
      <c r="M205" s="3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idden="1">
      <c r="A206" s="26">
        <v>44022.0</v>
      </c>
      <c r="B206" s="57"/>
      <c r="C206" s="57"/>
      <c r="D206" s="57"/>
      <c r="E206" s="57"/>
      <c r="F206" s="64">
        <v>-30.0</v>
      </c>
      <c r="G206" s="64"/>
      <c r="H206" s="57"/>
      <c r="I206" s="57"/>
      <c r="J206" s="64"/>
      <c r="K206" s="57"/>
      <c r="L206" s="30"/>
      <c r="M206" s="3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idden="1">
      <c r="A207" s="26">
        <v>44023.0</v>
      </c>
      <c r="B207" s="57"/>
      <c r="C207" s="57"/>
      <c r="D207" s="57"/>
      <c r="E207" s="57"/>
      <c r="F207" s="64">
        <f>-sum(4.8,4.9,3.5,23.84)</f>
        <v>-37.04</v>
      </c>
      <c r="G207" s="57"/>
      <c r="H207" s="57"/>
      <c r="I207" s="57"/>
      <c r="J207" s="57"/>
      <c r="K207" s="57"/>
      <c r="L207" s="30"/>
      <c r="M207" s="3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idden="1">
      <c r="A208" s="26">
        <v>44024.0</v>
      </c>
      <c r="B208" s="57"/>
      <c r="C208" s="57"/>
      <c r="D208" s="57"/>
      <c r="E208" s="57"/>
      <c r="F208" s="57">
        <f>-sum(92.61,4,42.34)</f>
        <v>-138.95</v>
      </c>
      <c r="G208" s="57"/>
      <c r="H208" s="57"/>
      <c r="I208" s="57"/>
      <c r="J208" s="57"/>
      <c r="K208" s="57"/>
      <c r="L208" s="30"/>
      <c r="M208" s="3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idden="1">
      <c r="A209" s="26">
        <v>44025.0</v>
      </c>
      <c r="B209" s="57"/>
      <c r="C209" s="57"/>
      <c r="D209" s="57"/>
      <c r="E209" s="64">
        <v>-39.04</v>
      </c>
      <c r="F209" s="57">
        <f>-sum(29.05,94,13.25,0.74)</f>
        <v>-137.04</v>
      </c>
      <c r="G209" s="57"/>
      <c r="H209" s="57"/>
      <c r="I209" s="57"/>
      <c r="J209" s="57"/>
      <c r="K209" s="57"/>
      <c r="L209" s="30"/>
      <c r="M209" s="3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idden="1">
      <c r="A210" s="26">
        <v>44026.0</v>
      </c>
      <c r="B210" s="57"/>
      <c r="C210" s="57"/>
      <c r="D210" s="57"/>
      <c r="E210" s="64"/>
      <c r="F210" s="64">
        <v>-28.0</v>
      </c>
      <c r="G210" s="57"/>
      <c r="H210" s="57"/>
      <c r="I210" s="57"/>
      <c r="J210" s="64"/>
      <c r="K210" s="57"/>
      <c r="L210" s="30"/>
      <c r="M210" s="3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idden="1">
      <c r="A211" s="26">
        <v>44027.0</v>
      </c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30"/>
      <c r="M211" s="3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idden="1">
      <c r="A212" s="26">
        <v>44028.0</v>
      </c>
      <c r="B212" s="57"/>
      <c r="C212" s="57"/>
      <c r="D212" s="57"/>
      <c r="E212" s="57"/>
      <c r="F212" s="64"/>
      <c r="G212" s="57"/>
      <c r="H212" s="57"/>
      <c r="I212" s="57"/>
      <c r="J212" s="57"/>
      <c r="K212" s="57"/>
      <c r="L212" s="30"/>
      <c r="M212" s="3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idden="1">
      <c r="A213" s="26">
        <v>44029.0</v>
      </c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30"/>
      <c r="M213" s="3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idden="1">
      <c r="A214" s="26">
        <v>44030.0</v>
      </c>
      <c r="B214" s="57"/>
      <c r="C214" s="57"/>
      <c r="D214" s="57"/>
      <c r="E214" s="64"/>
      <c r="F214" s="57">
        <f>-sum(18.05,22.4,83.67,90.97,30,88.47,14.5,5.8,47.04)</f>
        <v>-400.9</v>
      </c>
      <c r="G214" s="57"/>
      <c r="H214" s="57"/>
      <c r="I214" s="57"/>
      <c r="J214" s="57"/>
      <c r="K214" s="57"/>
      <c r="L214" s="30"/>
      <c r="M214" s="3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idden="1">
      <c r="A215" s="26">
        <v>44031.0</v>
      </c>
      <c r="B215" s="57"/>
      <c r="C215" s="57"/>
      <c r="D215" s="57"/>
      <c r="E215" s="57"/>
      <c r="F215" s="64">
        <f>-sum(159.95,2.5,24.5)</f>
        <v>-186.95</v>
      </c>
      <c r="G215" s="57"/>
      <c r="H215" s="57"/>
      <c r="I215" s="57"/>
      <c r="J215" s="57"/>
      <c r="K215" s="57"/>
      <c r="L215" s="30"/>
      <c r="M215" s="3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idden="1">
      <c r="A216" s="26">
        <v>44032.0</v>
      </c>
      <c r="B216" s="57"/>
      <c r="C216" s="57"/>
      <c r="D216" s="57"/>
      <c r="E216" s="57"/>
      <c r="F216" s="64">
        <v>-28.4</v>
      </c>
      <c r="G216" s="57"/>
      <c r="H216" s="57"/>
      <c r="I216" s="57"/>
      <c r="J216" s="57"/>
      <c r="K216" s="57"/>
      <c r="L216" s="30"/>
      <c r="M216" s="3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idden="1">
      <c r="A217" s="26">
        <v>44033.0</v>
      </c>
      <c r="B217" s="57"/>
      <c r="C217" s="57"/>
      <c r="D217" s="57"/>
      <c r="E217" s="57"/>
      <c r="F217" s="64">
        <v>-28.9</v>
      </c>
      <c r="G217" s="57"/>
      <c r="H217" s="57"/>
      <c r="I217" s="57"/>
      <c r="J217" s="57"/>
      <c r="K217" s="57"/>
      <c r="L217" s="30"/>
      <c r="M217" s="3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idden="1">
      <c r="A218" s="26">
        <v>44034.0</v>
      </c>
      <c r="B218" s="57"/>
      <c r="C218" s="57"/>
      <c r="D218" s="57"/>
      <c r="E218" s="57"/>
      <c r="F218" s="64">
        <f>-sum(18.28,23)</f>
        <v>-41.28</v>
      </c>
      <c r="G218" s="57"/>
      <c r="H218" s="64">
        <v>-20.51</v>
      </c>
      <c r="I218" s="57"/>
      <c r="J218" s="57"/>
      <c r="K218" s="57"/>
      <c r="L218" s="30"/>
      <c r="M218" s="3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idden="1">
      <c r="A219" s="26">
        <v>44035.0</v>
      </c>
      <c r="B219" s="57"/>
      <c r="C219" s="57"/>
      <c r="D219" s="57"/>
      <c r="E219" s="64">
        <v>-43.25</v>
      </c>
      <c r="F219" s="64">
        <v>-5.95</v>
      </c>
      <c r="G219" s="64">
        <v>-345.29</v>
      </c>
      <c r="H219" s="57"/>
      <c r="I219" s="57"/>
      <c r="J219" s="57"/>
      <c r="K219" s="57"/>
      <c r="L219" s="30"/>
      <c r="M219" s="3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idden="1">
      <c r="A220" s="26">
        <v>44036.0</v>
      </c>
      <c r="B220" s="57"/>
      <c r="C220" s="57"/>
      <c r="D220" s="57"/>
      <c r="E220" s="57"/>
      <c r="F220" s="64">
        <f>-sum(734.4,599)</f>
        <v>-1333.4</v>
      </c>
      <c r="G220" s="57"/>
      <c r="H220" s="57"/>
      <c r="I220" s="64"/>
      <c r="J220" s="57"/>
      <c r="K220" s="57"/>
      <c r="L220" s="30"/>
      <c r="M220" s="3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idden="1">
      <c r="A221" s="26">
        <v>44037.0</v>
      </c>
      <c r="B221" s="57"/>
      <c r="C221" s="57"/>
      <c r="D221" s="57"/>
      <c r="E221" s="64"/>
      <c r="F221" s="64">
        <v>-75.0</v>
      </c>
      <c r="G221" s="64"/>
      <c r="H221" s="57"/>
      <c r="I221" s="57"/>
      <c r="J221" s="57"/>
      <c r="K221" s="57"/>
      <c r="L221" s="30"/>
      <c r="M221" s="3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idden="1">
      <c r="A222" s="26">
        <v>44038.0</v>
      </c>
      <c r="B222" s="57"/>
      <c r="C222" s="57"/>
      <c r="D222" s="57"/>
      <c r="E222" s="57"/>
      <c r="F222" s="57">
        <f>-sum(19.95,2.35,7.63,21.75,6.4,50.31,5.8,3,25.04,59,39,7)</f>
        <v>-247.23</v>
      </c>
      <c r="G222" s="57"/>
      <c r="H222" s="57"/>
      <c r="I222" s="57"/>
      <c r="J222" s="57"/>
      <c r="K222" s="57"/>
      <c r="L222" s="30"/>
      <c r="M222" s="3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idden="1">
      <c r="A223" s="26">
        <v>44039.0</v>
      </c>
      <c r="B223" s="57"/>
      <c r="C223" s="57"/>
      <c r="D223" s="57"/>
      <c r="E223" s="57"/>
      <c r="F223" s="64">
        <f>-sum(7.76,40,3.43)</f>
        <v>-51.19</v>
      </c>
      <c r="G223" s="57"/>
      <c r="H223" s="57"/>
      <c r="I223" s="57"/>
      <c r="J223" s="57"/>
      <c r="K223" s="57"/>
      <c r="L223" s="30"/>
      <c r="M223" s="3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idden="1">
      <c r="A224" s="26">
        <v>44040.0</v>
      </c>
      <c r="B224" s="57"/>
      <c r="C224" s="57"/>
      <c r="D224" s="57"/>
      <c r="E224" s="57"/>
      <c r="F224" s="64">
        <v>-91.96</v>
      </c>
      <c r="G224" s="57"/>
      <c r="H224" s="57"/>
      <c r="I224" s="57"/>
      <c r="J224" s="57"/>
      <c r="K224" s="57"/>
      <c r="L224" s="30"/>
      <c r="M224" s="3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idden="1">
      <c r="A225" s="26">
        <v>44041.0</v>
      </c>
      <c r="B225" s="57"/>
      <c r="C225" s="57"/>
      <c r="D225" s="57"/>
      <c r="E225" s="57"/>
      <c r="F225" s="57">
        <f>-sum(83.76,11.85)</f>
        <v>-95.61</v>
      </c>
      <c r="G225" s="57"/>
      <c r="H225" s="57"/>
      <c r="I225" s="57"/>
      <c r="J225" s="57"/>
      <c r="K225" s="57"/>
      <c r="L225" s="30"/>
      <c r="M225" s="3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idden="1">
      <c r="A226" s="26">
        <v>44042.0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30"/>
      <c r="M226" s="3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idden="1">
      <c r="A227" s="26">
        <v>44043.0</v>
      </c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30"/>
      <c r="M227" s="3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idden="1">
      <c r="A228" s="26">
        <v>44044.0</v>
      </c>
      <c r="B228" s="57"/>
      <c r="C228" s="57"/>
      <c r="D228" s="57"/>
      <c r="E228" s="57"/>
      <c r="F228" s="64"/>
      <c r="G228" s="64">
        <v>-70.0</v>
      </c>
      <c r="H228" s="57"/>
      <c r="I228" s="57"/>
      <c r="J228" s="64"/>
      <c r="K228" s="57"/>
      <c r="L228" s="30"/>
      <c r="M228" s="3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idden="1">
      <c r="A229" s="26">
        <v>44045.0</v>
      </c>
      <c r="B229" s="57"/>
      <c r="C229" s="57"/>
      <c r="D229" s="57"/>
      <c r="E229" s="64">
        <v>-47.18</v>
      </c>
      <c r="F229" s="64">
        <f>-sum(41.17,21.53,85.9,10.5,70.06,5.8,4.5,18.1,17.16,9.64,168.43)</f>
        <v>-452.79</v>
      </c>
      <c r="G229" s="57"/>
      <c r="H229" s="57"/>
      <c r="I229" s="57"/>
      <c r="J229" s="57"/>
      <c r="K229" s="57"/>
      <c r="L229" s="30"/>
      <c r="M229" s="3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idden="1">
      <c r="A230" s="26">
        <v>44046.0</v>
      </c>
      <c r="B230" s="57"/>
      <c r="C230" s="57"/>
      <c r="D230" s="57"/>
      <c r="E230" s="57"/>
      <c r="F230" s="57"/>
      <c r="G230" s="64">
        <v>-600.0</v>
      </c>
      <c r="H230" s="57"/>
      <c r="I230" s="57"/>
      <c r="J230" s="57"/>
      <c r="K230" s="57"/>
      <c r="L230" s="30"/>
      <c r="M230" s="3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idden="1">
      <c r="A231" s="26">
        <v>44047.0</v>
      </c>
      <c r="B231" s="57"/>
      <c r="C231" s="57"/>
      <c r="D231" s="57"/>
      <c r="E231" s="57"/>
      <c r="F231" s="64">
        <v>-72.85</v>
      </c>
      <c r="G231" s="57"/>
      <c r="H231" s="57"/>
      <c r="I231" s="57"/>
      <c r="J231" s="57"/>
      <c r="K231" s="57"/>
      <c r="L231" s="30"/>
      <c r="M231" s="3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idden="1">
      <c r="A232" s="26">
        <v>44048.0</v>
      </c>
      <c r="B232" s="57"/>
      <c r="C232" s="57"/>
      <c r="D232" s="57"/>
      <c r="E232" s="57"/>
      <c r="F232" s="57">
        <f>-sum(6,6.7,10,40,14,3.2,25.3)</f>
        <v>-105.2</v>
      </c>
      <c r="G232" s="57"/>
      <c r="H232" s="57"/>
      <c r="I232" s="57"/>
      <c r="J232" s="57"/>
      <c r="K232" s="57"/>
      <c r="L232" s="30"/>
      <c r="M232" s="3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idden="1">
      <c r="A233" s="26">
        <v>44049.0</v>
      </c>
      <c r="B233" s="57"/>
      <c r="C233" s="57"/>
      <c r="D233" s="57"/>
      <c r="E233" s="64"/>
      <c r="F233" s="64">
        <f>-sum(9.7,22)</f>
        <v>-31.7</v>
      </c>
      <c r="G233" s="57"/>
      <c r="H233" s="57"/>
      <c r="I233" s="57"/>
      <c r="J233" s="57"/>
      <c r="K233" s="57"/>
      <c r="L233" s="30"/>
      <c r="M233" s="3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idden="1">
      <c r="A234" s="26">
        <v>44050.0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30"/>
      <c r="M234" s="3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idden="1">
      <c r="A235" s="26">
        <v>44051.0</v>
      </c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30"/>
      <c r="M235" s="3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idden="1">
      <c r="A236" s="26">
        <v>44052.0</v>
      </c>
      <c r="B236" s="57"/>
      <c r="C236" s="57"/>
      <c r="D236" s="57"/>
      <c r="E236" s="64"/>
      <c r="F236" s="57"/>
      <c r="G236" s="57"/>
      <c r="H236" s="57"/>
      <c r="I236" s="57"/>
      <c r="J236" s="57"/>
      <c r="K236" s="57"/>
      <c r="L236" s="30"/>
      <c r="M236" s="3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idden="1">
      <c r="A237" s="26">
        <v>44053.0</v>
      </c>
      <c r="B237" s="57"/>
      <c r="C237" s="57"/>
      <c r="D237" s="57"/>
      <c r="E237" s="64"/>
      <c r="F237" s="64"/>
      <c r="G237" s="57"/>
      <c r="H237" s="64"/>
      <c r="I237" s="57"/>
      <c r="J237" s="57"/>
      <c r="K237" s="57"/>
      <c r="L237" s="30"/>
      <c r="M237" s="3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idden="1">
      <c r="A238" s="26">
        <v>44054.0</v>
      </c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30"/>
      <c r="M238" s="3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idden="1">
      <c r="A239" s="26">
        <v>44055.0</v>
      </c>
      <c r="B239" s="57"/>
      <c r="C239" s="57"/>
      <c r="D239" s="57"/>
      <c r="E239" s="57"/>
      <c r="F239" s="64">
        <f>-sum(12.24,32.73,57.4,106.78,38.38,6.63,44.19)</f>
        <v>-298.35</v>
      </c>
      <c r="G239" s="57"/>
      <c r="H239" s="57"/>
      <c r="I239" s="57"/>
      <c r="J239" s="57"/>
      <c r="K239" s="57"/>
      <c r="L239" s="30"/>
      <c r="M239" s="3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idden="1">
      <c r="A240" s="26">
        <v>44056.0</v>
      </c>
      <c r="B240" s="57"/>
      <c r="C240" s="57"/>
      <c r="D240" s="57"/>
      <c r="E240" s="57"/>
      <c r="F240" s="64"/>
      <c r="G240" s="57"/>
      <c r="H240" s="57"/>
      <c r="I240" s="57"/>
      <c r="J240" s="57"/>
      <c r="K240" s="57"/>
      <c r="L240" s="30"/>
      <c r="M240" s="3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idden="1">
      <c r="A241" s="26">
        <v>44057.0</v>
      </c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30"/>
      <c r="M241" s="3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idden="1">
      <c r="A242" s="26">
        <v>44058.0</v>
      </c>
      <c r="B242" s="57"/>
      <c r="C242" s="57"/>
      <c r="D242" s="57"/>
      <c r="E242" s="57"/>
      <c r="F242" s="64">
        <v>-119.0</v>
      </c>
      <c r="G242" s="57"/>
      <c r="H242" s="57"/>
      <c r="I242" s="57"/>
      <c r="J242" s="64">
        <v>-86.68</v>
      </c>
      <c r="K242" s="57"/>
      <c r="L242" s="30"/>
      <c r="M242" s="3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idden="1">
      <c r="A243" s="26">
        <v>44059.0</v>
      </c>
      <c r="B243" s="57"/>
      <c r="C243" s="57"/>
      <c r="D243" s="57"/>
      <c r="E243" s="57"/>
      <c r="F243" s="57">
        <f>-sum(21.1,25.5,30.85,55.7,51.73)</f>
        <v>-184.88</v>
      </c>
      <c r="G243" s="57"/>
      <c r="H243" s="57"/>
      <c r="I243" s="57"/>
      <c r="J243" s="57"/>
      <c r="K243" s="57"/>
      <c r="L243" s="30"/>
      <c r="M243" s="3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idden="1">
      <c r="A244" s="26">
        <v>44060.0</v>
      </c>
      <c r="B244" s="57"/>
      <c r="C244" s="57"/>
      <c r="D244" s="57"/>
      <c r="E244" s="64"/>
      <c r="F244" s="64"/>
      <c r="G244" s="64">
        <v>-600.0</v>
      </c>
      <c r="H244" s="57"/>
      <c r="I244" s="57"/>
      <c r="J244" s="57"/>
      <c r="K244" s="64">
        <v>-94.46</v>
      </c>
      <c r="L244" s="30"/>
      <c r="M244" s="3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idden="1">
      <c r="A245" s="26">
        <v>44061.0</v>
      </c>
      <c r="B245" s="57"/>
      <c r="C245" s="57"/>
      <c r="D245" s="57"/>
      <c r="E245" s="57"/>
      <c r="F245" s="64">
        <v>-22.5</v>
      </c>
      <c r="G245" s="57"/>
      <c r="H245" s="57"/>
      <c r="I245" s="57"/>
      <c r="J245" s="57"/>
      <c r="K245" s="57"/>
      <c r="L245" s="30"/>
      <c r="M245" s="3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idden="1">
      <c r="A246" s="26">
        <v>44062.0</v>
      </c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30"/>
      <c r="M246" s="3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idden="1">
      <c r="A247" s="26">
        <v>44063.0</v>
      </c>
      <c r="B247" s="57"/>
      <c r="C247" s="57"/>
      <c r="D247" s="57"/>
      <c r="E247" s="64"/>
      <c r="F247" s="64">
        <f>-sum(66,63.79,1.55)</f>
        <v>-131.34</v>
      </c>
      <c r="G247" s="57"/>
      <c r="H247" s="57"/>
      <c r="I247" s="57"/>
      <c r="J247" s="57"/>
      <c r="K247" s="57"/>
      <c r="L247" s="30"/>
      <c r="M247" s="3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idden="1">
      <c r="A248" s="26">
        <v>44064.0</v>
      </c>
      <c r="B248" s="57"/>
      <c r="C248" s="57"/>
      <c r="D248" s="57"/>
      <c r="E248" s="57"/>
      <c r="F248" s="64">
        <v>-24.0</v>
      </c>
      <c r="G248" s="57"/>
      <c r="H248" s="57"/>
      <c r="I248" s="57"/>
      <c r="J248" s="57"/>
      <c r="K248" s="57"/>
      <c r="L248" s="30"/>
      <c r="M248" s="3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idden="1">
      <c r="A249" s="26">
        <v>44065.0</v>
      </c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30"/>
      <c r="M249" s="3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idden="1">
      <c r="A250" s="26">
        <v>44066.0</v>
      </c>
      <c r="B250" s="57"/>
      <c r="C250" s="57"/>
      <c r="D250" s="57"/>
      <c r="E250" s="57"/>
      <c r="F250" s="64">
        <v>-168.77</v>
      </c>
      <c r="G250" s="57"/>
      <c r="H250" s="57"/>
      <c r="I250" s="64">
        <v>-4875.4</v>
      </c>
      <c r="J250" s="57"/>
      <c r="K250" s="57"/>
      <c r="L250" s="30"/>
      <c r="M250" s="3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idden="1">
      <c r="A251" s="26">
        <v>44067.0</v>
      </c>
      <c r="B251" s="57"/>
      <c r="C251" s="57"/>
      <c r="D251" s="57"/>
      <c r="E251" s="57"/>
      <c r="F251" s="64">
        <f>-sum(63.79,4.5,10,4)</f>
        <v>-82.29</v>
      </c>
      <c r="G251" s="57"/>
      <c r="H251" s="57"/>
      <c r="I251" s="57"/>
      <c r="J251" s="57"/>
      <c r="K251" s="64">
        <v>-12.36</v>
      </c>
      <c r="L251" s="30"/>
      <c r="M251" s="3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idden="1">
      <c r="A252" s="26">
        <v>44068.0</v>
      </c>
      <c r="B252" s="57"/>
      <c r="C252" s="57"/>
      <c r="D252" s="57"/>
      <c r="E252" s="64">
        <v>41.59</v>
      </c>
      <c r="F252" s="57">
        <f>-sum(25.23,50.76,22.12,24,27.84,-26,19.4,12.5)</f>
        <v>-155.85</v>
      </c>
      <c r="G252" s="57"/>
      <c r="H252" s="57"/>
      <c r="I252" s="57"/>
      <c r="J252" s="57"/>
      <c r="K252" s="57"/>
      <c r="L252" s="30"/>
      <c r="M252" s="3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idden="1">
      <c r="A253" s="26">
        <v>44069.0</v>
      </c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30"/>
      <c r="M253" s="3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idden="1">
      <c r="A254" s="26">
        <v>44070.0</v>
      </c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30"/>
      <c r="M254" s="3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idden="1">
      <c r="A255" s="26">
        <v>44071.0</v>
      </c>
      <c r="B255" s="57"/>
      <c r="C255" s="57"/>
      <c r="D255" s="57"/>
      <c r="E255" s="57"/>
      <c r="F255" s="64">
        <v>-10.0</v>
      </c>
      <c r="G255" s="57"/>
      <c r="H255" s="57"/>
      <c r="I255" s="57"/>
      <c r="J255" s="57"/>
      <c r="K255" s="57"/>
      <c r="L255" s="30"/>
      <c r="M255" s="3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idden="1">
      <c r="A256" s="26">
        <v>44072.0</v>
      </c>
      <c r="B256" s="57"/>
      <c r="C256" s="57"/>
      <c r="D256" s="57"/>
      <c r="E256" s="57"/>
      <c r="F256" s="64">
        <v>-27.0</v>
      </c>
      <c r="G256" s="57"/>
      <c r="H256" s="57"/>
      <c r="I256" s="57"/>
      <c r="J256" s="57"/>
      <c r="K256" s="57"/>
      <c r="L256" s="30"/>
      <c r="M256" s="3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idden="1">
      <c r="A257" s="26">
        <v>44073.0</v>
      </c>
      <c r="B257" s="57"/>
      <c r="C257" s="57"/>
      <c r="D257" s="57"/>
      <c r="E257" s="57"/>
      <c r="F257" s="64">
        <v>22.88</v>
      </c>
      <c r="G257" s="57"/>
      <c r="H257" s="57"/>
      <c r="I257" s="57"/>
      <c r="J257" s="57"/>
      <c r="K257" s="57"/>
      <c r="L257" s="30"/>
      <c r="M257" s="3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idden="1">
      <c r="A258" s="26">
        <v>44074.0</v>
      </c>
      <c r="B258" s="57"/>
      <c r="C258" s="57"/>
      <c r="D258" s="57"/>
      <c r="E258" s="57"/>
      <c r="F258" s="64"/>
      <c r="G258" s="64">
        <v>-600.0</v>
      </c>
      <c r="H258" s="57"/>
      <c r="I258" s="57"/>
      <c r="J258" s="57"/>
      <c r="K258" s="57"/>
      <c r="L258" s="30"/>
      <c r="M258" s="3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26">
        <v>44075.0</v>
      </c>
      <c r="B259" s="57"/>
      <c r="C259" s="57"/>
      <c r="D259" s="57"/>
      <c r="E259" s="57"/>
      <c r="F259" s="64">
        <v>-31.3</v>
      </c>
      <c r="G259" s="64">
        <v>-70.0</v>
      </c>
      <c r="H259" s="57"/>
      <c r="I259" s="57"/>
      <c r="J259" s="57"/>
      <c r="K259" s="57"/>
      <c r="L259" s="30"/>
      <c r="M259" s="3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26">
        <v>44076.0</v>
      </c>
      <c r="B260" s="57"/>
      <c r="C260" s="57"/>
      <c r="D260" s="57"/>
      <c r="E260" s="57"/>
      <c r="F260" s="57">
        <f>-sum(5.8,6.4,56.53,48.3,12.98,31.71)</f>
        <v>-161.72</v>
      </c>
      <c r="G260" s="57"/>
      <c r="H260" s="57"/>
      <c r="I260" s="57"/>
      <c r="J260" s="64">
        <v>-82.0</v>
      </c>
      <c r="K260" s="57"/>
      <c r="L260" s="30"/>
      <c r="M260" s="30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26">
        <v>44077.0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31"/>
      <c r="M261" s="30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26">
        <v>44078.0</v>
      </c>
      <c r="B262" s="57"/>
      <c r="C262" s="57"/>
      <c r="D262" s="57"/>
      <c r="E262" s="57"/>
      <c r="F262" s="64">
        <v>-31.0</v>
      </c>
      <c r="G262" s="57"/>
      <c r="H262" s="57"/>
      <c r="I262" s="57"/>
      <c r="J262" s="57"/>
      <c r="K262" s="57"/>
      <c r="L262" s="30"/>
      <c r="M262" s="30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26">
        <v>44079.0</v>
      </c>
      <c r="B263" s="57"/>
      <c r="C263" s="57"/>
      <c r="D263" s="57"/>
      <c r="E263" s="64"/>
      <c r="F263" s="57"/>
      <c r="G263" s="57"/>
      <c r="H263" s="57"/>
      <c r="I263" s="57"/>
      <c r="J263" s="57"/>
      <c r="K263" s="57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26">
        <v>44080.0</v>
      </c>
      <c r="B264" s="57"/>
      <c r="C264" s="57"/>
      <c r="D264" s="57"/>
      <c r="E264" s="57"/>
      <c r="F264" s="64"/>
      <c r="G264" s="57"/>
      <c r="H264" s="57"/>
      <c r="I264" s="57"/>
      <c r="J264" s="64"/>
      <c r="K264" s="5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26">
        <v>44081.0</v>
      </c>
      <c r="B265" s="57"/>
      <c r="C265" s="57"/>
      <c r="D265" s="57"/>
      <c r="E265" s="64">
        <v>-22.0</v>
      </c>
      <c r="F265" s="64">
        <v>-30.0</v>
      </c>
      <c r="G265" s="57"/>
      <c r="H265" s="57"/>
      <c r="I265" s="57"/>
      <c r="J265" s="57"/>
      <c r="K265" s="5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26">
        <v>44082.0</v>
      </c>
      <c r="B266" s="57"/>
      <c r="C266" s="57"/>
      <c r="D266" s="57"/>
      <c r="E266" s="64">
        <v>-22.0</v>
      </c>
      <c r="F266" s="57">
        <f>-sum(110,3,29.7)</f>
        <v>-142.7</v>
      </c>
      <c r="G266" s="57"/>
      <c r="H266" s="57"/>
      <c r="I266" s="57"/>
      <c r="J266" s="57"/>
      <c r="K266" s="57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26">
        <v>44083.0</v>
      </c>
      <c r="B267" s="57"/>
      <c r="C267" s="57"/>
      <c r="D267" s="57"/>
      <c r="E267" s="64">
        <v>-8.0</v>
      </c>
      <c r="F267" s="64">
        <f>-sum(11.28,21.97,21.49)</f>
        <v>-54.74</v>
      </c>
      <c r="G267" s="57"/>
      <c r="H267" s="57"/>
      <c r="I267" s="57"/>
      <c r="J267" s="57"/>
      <c r="K267" s="5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26">
        <v>44084.0</v>
      </c>
      <c r="B268" s="57"/>
      <c r="C268" s="57"/>
      <c r="D268" s="57"/>
      <c r="E268" s="57"/>
      <c r="F268" s="64">
        <f>-sum(45.23,5,43.1)</f>
        <v>-93.33</v>
      </c>
      <c r="G268" s="57"/>
      <c r="H268" s="57"/>
      <c r="I268" s="57"/>
      <c r="J268" s="57"/>
      <c r="K268" s="64">
        <v>-61.0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26">
        <v>44085.0</v>
      </c>
      <c r="B269" s="57"/>
      <c r="C269" s="57"/>
      <c r="D269" s="57"/>
      <c r="E269" s="57"/>
      <c r="F269" s="64">
        <f>-sum(15.66,21.21,41.27)</f>
        <v>-78.14</v>
      </c>
      <c r="G269" s="57"/>
      <c r="H269" s="57"/>
      <c r="I269" s="57"/>
      <c r="J269" s="57"/>
      <c r="K269" s="64">
        <v>-189.99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26">
        <v>44086.0</v>
      </c>
      <c r="B270" s="57"/>
      <c r="C270" s="57"/>
      <c r="D270" s="57"/>
      <c r="E270" s="64"/>
      <c r="F270" s="64"/>
      <c r="G270" s="57"/>
      <c r="H270" s="57"/>
      <c r="I270" s="57"/>
      <c r="J270" s="57"/>
      <c r="K270" s="64">
        <v>-65.0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26">
        <v>44087.0</v>
      </c>
      <c r="B271" s="57"/>
      <c r="C271" s="57"/>
      <c r="D271" s="57"/>
      <c r="E271" s="57"/>
      <c r="F271" s="64"/>
      <c r="G271" s="57"/>
      <c r="H271" s="57"/>
      <c r="I271" s="57"/>
      <c r="J271" s="57"/>
      <c r="K271" s="57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26">
        <v>44088.0</v>
      </c>
      <c r="B272" s="57"/>
      <c r="C272" s="57"/>
      <c r="D272" s="57"/>
      <c r="E272" s="57"/>
      <c r="F272" s="64">
        <f>-sum(20.64,28.92,30.6,13.04)</f>
        <v>-93.2</v>
      </c>
      <c r="G272" s="64">
        <v>-600.0</v>
      </c>
      <c r="H272" s="57"/>
      <c r="I272" s="57"/>
      <c r="J272" s="57"/>
      <c r="K272" s="57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26">
        <v>44089.0</v>
      </c>
      <c r="B273" s="57"/>
      <c r="C273" s="57"/>
      <c r="D273" s="57"/>
      <c r="E273" s="57"/>
      <c r="F273" s="64">
        <v>-14.41</v>
      </c>
      <c r="G273" s="64">
        <v>-87.5</v>
      </c>
      <c r="H273" s="57"/>
      <c r="I273" s="57"/>
      <c r="J273" s="57"/>
      <c r="K273" s="57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26">
        <v>44090.0</v>
      </c>
      <c r="B274" s="57"/>
      <c r="C274" s="57"/>
      <c r="D274" s="57"/>
      <c r="E274" s="57"/>
      <c r="F274" s="57">
        <f>sum(110.5,-410)</f>
        <v>-299.5</v>
      </c>
      <c r="G274" s="57"/>
      <c r="H274" s="57"/>
      <c r="I274" s="57"/>
      <c r="J274" s="57"/>
      <c r="K274" s="57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26">
        <v>44091.0</v>
      </c>
      <c r="B275" s="57"/>
      <c r="C275" s="57"/>
      <c r="D275" s="57"/>
      <c r="E275" s="57"/>
      <c r="F275" s="64"/>
      <c r="G275" s="57"/>
      <c r="H275" s="57"/>
      <c r="I275" s="57"/>
      <c r="J275" s="57"/>
      <c r="K275" s="57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26">
        <v>44092.0</v>
      </c>
      <c r="B276" s="57"/>
      <c r="C276" s="57"/>
      <c r="D276" s="57"/>
      <c r="E276" s="64">
        <v>-45.79</v>
      </c>
      <c r="F276" s="57">
        <f>-sum(18.17,31.86,24.95,23)</f>
        <v>-97.98</v>
      </c>
      <c r="G276" s="64">
        <v>-15.0</v>
      </c>
      <c r="H276" s="57"/>
      <c r="I276" s="57"/>
      <c r="J276" s="57"/>
      <c r="K276" s="57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26">
        <v>44093.0</v>
      </c>
      <c r="B277" s="57"/>
      <c r="C277" s="57"/>
      <c r="D277" s="57"/>
      <c r="E277" s="57"/>
      <c r="F277" s="64"/>
      <c r="G277" s="57"/>
      <c r="H277" s="57"/>
      <c r="I277" s="57"/>
      <c r="J277" s="57"/>
      <c r="K277" s="57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26">
        <v>44094.0</v>
      </c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26">
        <v>44095.0</v>
      </c>
      <c r="B279" s="57"/>
      <c r="C279" s="57"/>
      <c r="D279" s="57"/>
      <c r="E279" s="57"/>
      <c r="F279" s="64">
        <f>-sum(11.63,18.69,0.76,20.48,7.94,44,96)</f>
        <v>-199.5</v>
      </c>
      <c r="G279" s="57"/>
      <c r="H279" s="57"/>
      <c r="I279" s="57"/>
      <c r="J279" s="57"/>
      <c r="K279" s="57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26">
        <v>44096.0</v>
      </c>
      <c r="B280" s="57"/>
      <c r="C280" s="57"/>
      <c r="D280" s="57"/>
      <c r="E280" s="57"/>
      <c r="F280" s="64"/>
      <c r="G280" s="64"/>
      <c r="H280" s="57"/>
      <c r="I280" s="57"/>
      <c r="J280" s="57"/>
      <c r="K280" s="57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26">
        <v>44097.0</v>
      </c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26">
        <v>44098.0</v>
      </c>
      <c r="B282" s="57"/>
      <c r="C282" s="57"/>
      <c r="D282" s="57"/>
      <c r="E282" s="64"/>
      <c r="F282" s="64">
        <f>-sum(33.1,22.83,15.69,48.47,68.93)</f>
        <v>-189.02</v>
      </c>
      <c r="G282" s="57"/>
      <c r="H282" s="57"/>
      <c r="I282" s="57"/>
      <c r="J282" s="57"/>
      <c r="K282" s="64">
        <v>-239.2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26">
        <v>44099.0</v>
      </c>
      <c r="B283" s="57"/>
      <c r="C283" s="57"/>
      <c r="D283" s="57"/>
      <c r="E283" s="57"/>
      <c r="F283" s="64"/>
      <c r="G283" s="57"/>
      <c r="H283" s="57"/>
      <c r="I283" s="57"/>
      <c r="J283" s="57"/>
      <c r="K283" s="57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26">
        <v>44100.0</v>
      </c>
      <c r="B284" s="57"/>
      <c r="C284" s="57"/>
      <c r="D284" s="57"/>
      <c r="E284" s="57"/>
      <c r="F284" s="64">
        <v>-24.0</v>
      </c>
      <c r="G284" s="57"/>
      <c r="H284" s="57"/>
      <c r="I284" s="57"/>
      <c r="J284" s="57"/>
      <c r="K284" s="57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26">
        <v>44101.0</v>
      </c>
      <c r="B285" s="57"/>
      <c r="C285" s="57"/>
      <c r="D285" s="57"/>
      <c r="E285" s="57"/>
      <c r="F285" s="64"/>
      <c r="G285" s="57"/>
      <c r="H285" s="57"/>
      <c r="I285" s="57"/>
      <c r="J285" s="57"/>
      <c r="K285" s="57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26">
        <v>44102.0</v>
      </c>
      <c r="B286" s="57"/>
      <c r="C286" s="57"/>
      <c r="D286" s="57"/>
      <c r="E286" s="57"/>
      <c r="F286" s="57"/>
      <c r="G286" s="64">
        <v>-600.0</v>
      </c>
      <c r="H286" s="57"/>
      <c r="I286" s="57"/>
      <c r="J286" s="57"/>
      <c r="K286" s="57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26">
        <v>44103.0</v>
      </c>
      <c r="B287" s="57"/>
      <c r="C287" s="57"/>
      <c r="D287" s="57"/>
      <c r="E287" s="57"/>
      <c r="F287" s="64">
        <v>-44.0</v>
      </c>
      <c r="G287" s="57"/>
      <c r="H287" s="57"/>
      <c r="I287" s="57"/>
      <c r="J287" s="57"/>
      <c r="K287" s="5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26">
        <v>44104.0</v>
      </c>
      <c r="B288" s="57"/>
      <c r="C288" s="57"/>
      <c r="D288" s="57"/>
      <c r="E288" s="57"/>
      <c r="F288" s="64">
        <f>-sum(42.1,1.75,16.21,19.69,25.57,24.47,43.2)</f>
        <v>-172.99</v>
      </c>
      <c r="G288" s="57"/>
      <c r="H288" s="57"/>
      <c r="I288" s="57"/>
      <c r="J288" s="64">
        <v>-69.47</v>
      </c>
      <c r="K288" s="64">
        <v>-29.99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26">
        <v>44105.0</v>
      </c>
      <c r="B289" s="57"/>
      <c r="C289" s="57"/>
      <c r="D289" s="57"/>
      <c r="E289" s="64"/>
      <c r="F289" s="64"/>
      <c r="G289" s="57"/>
      <c r="H289" s="57"/>
      <c r="I289" s="57"/>
      <c r="J289" s="57"/>
      <c r="K289" s="57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26">
        <v>44106.0</v>
      </c>
      <c r="B290" s="57"/>
      <c r="C290" s="57"/>
      <c r="D290" s="57"/>
      <c r="E290" s="57"/>
      <c r="F290" s="64">
        <f>-sum(44.86,21.97,27.9)</f>
        <v>-94.73</v>
      </c>
      <c r="G290" s="57"/>
      <c r="H290" s="57"/>
      <c r="I290" s="57"/>
      <c r="J290" s="57"/>
      <c r="K290" s="64">
        <v>-49.85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26">
        <v>44107.0</v>
      </c>
      <c r="B291" s="57"/>
      <c r="C291" s="57"/>
      <c r="D291" s="57"/>
      <c r="E291" s="57"/>
      <c r="F291" s="64"/>
      <c r="G291" s="64">
        <v>-70.0</v>
      </c>
      <c r="H291" s="57"/>
      <c r="I291" s="57"/>
      <c r="J291" s="57"/>
      <c r="K291" s="64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26">
        <v>44108.0</v>
      </c>
      <c r="B292" s="57"/>
      <c r="C292" s="57"/>
      <c r="D292" s="57"/>
      <c r="E292" s="57"/>
      <c r="F292" s="64"/>
      <c r="G292" s="57"/>
      <c r="H292" s="57"/>
      <c r="I292" s="57"/>
      <c r="J292" s="64"/>
      <c r="K292" s="5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26">
        <v>44109.0</v>
      </c>
      <c r="B293" s="57"/>
      <c r="C293" s="57"/>
      <c r="D293" s="57"/>
      <c r="E293" s="57"/>
      <c r="F293" s="57">
        <f>-sum(18.43,11.8,14.4,14)</f>
        <v>-58.63</v>
      </c>
      <c r="G293" s="57"/>
      <c r="H293" s="57"/>
      <c r="I293" s="57"/>
      <c r="J293" s="64"/>
      <c r="K293" s="57"/>
      <c r="L293" s="8"/>
      <c r="M293" s="8"/>
      <c r="N293" s="29">
        <v>52363.92</v>
      </c>
      <c r="O293" s="29">
        <v>1856.36</v>
      </c>
      <c r="P293" s="29">
        <v>19641.63</v>
      </c>
      <c r="Q293" s="29">
        <v>11010.34</v>
      </c>
      <c r="R293" s="29">
        <v>1296.8</v>
      </c>
      <c r="S293" s="29">
        <v>9833.97</v>
      </c>
      <c r="T293" s="29">
        <v>2655.91</v>
      </c>
      <c r="U293" s="29">
        <v>6068.91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26">
        <v>44110.0</v>
      </c>
      <c r="B294" s="57"/>
      <c r="C294" s="57"/>
      <c r="D294" s="57"/>
      <c r="E294" s="64"/>
      <c r="F294" s="57">
        <f>-sum(9,20.55,24)</f>
        <v>-53.55</v>
      </c>
      <c r="G294" s="57"/>
      <c r="H294" s="57"/>
      <c r="I294" s="57"/>
      <c r="J294" s="57"/>
      <c r="K294" s="64">
        <v>-45.0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26">
        <v>44111.0</v>
      </c>
      <c r="B295" s="57"/>
      <c r="C295" s="57"/>
      <c r="D295" s="57"/>
      <c r="E295" s="57"/>
      <c r="F295" s="64">
        <v>115.85</v>
      </c>
      <c r="G295" s="57"/>
      <c r="H295" s="57"/>
      <c r="I295" s="57"/>
      <c r="J295" s="57"/>
      <c r="K295" s="5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26">
        <v>44112.0</v>
      </c>
      <c r="B296" s="57"/>
      <c r="C296" s="57"/>
      <c r="D296" s="57"/>
      <c r="E296" s="57"/>
      <c r="F296" s="64"/>
      <c r="G296" s="64"/>
      <c r="H296" s="57"/>
      <c r="I296" s="57"/>
      <c r="J296" s="57"/>
      <c r="K296" s="57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26">
        <v>44113.0</v>
      </c>
      <c r="B297" s="57"/>
      <c r="C297" s="57"/>
      <c r="D297" s="57"/>
      <c r="E297" s="64">
        <v>-39.14</v>
      </c>
      <c r="F297" s="64">
        <f>-sum(57.6,26.1,31.07)</f>
        <v>-114.77</v>
      </c>
      <c r="G297" s="64">
        <v>-158.28</v>
      </c>
      <c r="H297" s="57"/>
      <c r="I297" s="57"/>
      <c r="J297" s="57"/>
      <c r="K297" s="57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26">
        <v>44114.0</v>
      </c>
      <c r="B298" s="57"/>
      <c r="C298" s="57"/>
      <c r="D298" s="57"/>
      <c r="E298" s="57"/>
      <c r="F298" s="64"/>
      <c r="G298" s="57"/>
      <c r="H298" s="57"/>
      <c r="I298" s="57"/>
      <c r="J298" s="57"/>
      <c r="K298" s="57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26">
        <v>44115.0</v>
      </c>
      <c r="B299" s="57"/>
      <c r="C299" s="57"/>
      <c r="D299" s="57"/>
      <c r="E299" s="64"/>
      <c r="F299" s="64"/>
      <c r="G299" s="57"/>
      <c r="H299" s="57"/>
      <c r="I299" s="57"/>
      <c r="J299" s="57"/>
      <c r="K299" s="5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26">
        <v>44116.0</v>
      </c>
      <c r="B300" s="57"/>
      <c r="C300" s="57"/>
      <c r="D300" s="57"/>
      <c r="E300" s="57"/>
      <c r="F300" s="64">
        <f>-sum(17.49,9.8,18.5,2.88,43.69)</f>
        <v>-92.36</v>
      </c>
      <c r="G300" s="64">
        <v>-600.0</v>
      </c>
      <c r="H300" s="57"/>
      <c r="I300" s="57"/>
      <c r="J300" s="57"/>
      <c r="K300" s="5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26">
        <v>44117.0</v>
      </c>
      <c r="B301" s="57"/>
      <c r="C301" s="57"/>
      <c r="D301" s="57"/>
      <c r="E301" s="64"/>
      <c r="F301" s="64">
        <f>-sum(70,36.41)</f>
        <v>-106.41</v>
      </c>
      <c r="G301" s="57"/>
      <c r="H301" s="57"/>
      <c r="I301" s="57"/>
      <c r="J301" s="57"/>
      <c r="K301" s="57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26">
        <v>44118.0</v>
      </c>
      <c r="B302" s="57"/>
      <c r="C302" s="57"/>
      <c r="D302" s="57"/>
      <c r="E302" s="57"/>
      <c r="F302" s="64"/>
      <c r="G302" s="57"/>
      <c r="H302" s="57"/>
      <c r="I302" s="57"/>
      <c r="J302" s="57"/>
      <c r="K302" s="57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26">
        <v>44119.0</v>
      </c>
      <c r="B303" s="57"/>
      <c r="C303" s="57"/>
      <c r="D303" s="57"/>
      <c r="E303" s="57"/>
      <c r="F303" s="64"/>
      <c r="G303" s="57"/>
      <c r="H303" s="57"/>
      <c r="I303" s="57"/>
      <c r="J303" s="57"/>
      <c r="K303" s="5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26">
        <v>44120.0</v>
      </c>
      <c r="B304" s="57"/>
      <c r="C304" s="57"/>
      <c r="D304" s="57"/>
      <c r="E304" s="57"/>
      <c r="F304" s="57">
        <f>-sum(24.56,28.44)</f>
        <v>-53</v>
      </c>
      <c r="G304" s="57"/>
      <c r="H304" s="57"/>
      <c r="I304" s="57"/>
      <c r="J304" s="57"/>
      <c r="K304" s="57">
        <f>-sum(14.49,67.96)</f>
        <v>-82.45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26">
        <v>44121.0</v>
      </c>
      <c r="B305" s="57"/>
      <c r="C305" s="57"/>
      <c r="D305" s="57"/>
      <c r="E305" s="57"/>
      <c r="F305" s="64"/>
      <c r="G305" s="57"/>
      <c r="H305" s="57"/>
      <c r="I305" s="57"/>
      <c r="J305" s="57"/>
      <c r="K305" s="5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26">
        <v>44122.0</v>
      </c>
      <c r="B306" s="57"/>
      <c r="C306" s="57"/>
      <c r="D306" s="57"/>
      <c r="E306" s="64"/>
      <c r="F306" s="64">
        <v>-10.79</v>
      </c>
      <c r="G306" s="57"/>
      <c r="H306" s="57"/>
      <c r="I306" s="57"/>
      <c r="J306" s="57"/>
      <c r="K306" s="5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26">
        <v>44123.0</v>
      </c>
      <c r="B307" s="57"/>
      <c r="C307" s="57"/>
      <c r="D307" s="57"/>
      <c r="E307" s="64"/>
      <c r="F307" s="64">
        <f>-sum(5.08,9,33.04,8.25,6.97)</f>
        <v>-62.34</v>
      </c>
      <c r="G307" s="57"/>
      <c r="H307" s="57"/>
      <c r="I307" s="57"/>
      <c r="J307" s="57"/>
      <c r="K307" s="5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26">
        <v>44124.0</v>
      </c>
      <c r="B308" s="57"/>
      <c r="C308" s="57"/>
      <c r="D308" s="57"/>
      <c r="E308" s="57"/>
      <c r="F308" s="64">
        <v>-30.2</v>
      </c>
      <c r="G308" s="57"/>
      <c r="H308" s="57"/>
      <c r="I308" s="57"/>
      <c r="J308" s="64"/>
      <c r="K308" s="57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26">
        <v>44125.0</v>
      </c>
      <c r="B309" s="57"/>
      <c r="C309" s="57"/>
      <c r="D309" s="57"/>
      <c r="E309" s="64"/>
      <c r="F309" s="64"/>
      <c r="G309" s="57"/>
      <c r="H309" s="57"/>
      <c r="I309" s="57"/>
      <c r="J309" s="57"/>
      <c r="K309" s="57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26">
        <v>44126.0</v>
      </c>
      <c r="B310" s="57"/>
      <c r="C310" s="57"/>
      <c r="D310" s="57"/>
      <c r="E310" s="57"/>
      <c r="F310" s="64"/>
      <c r="G310" s="64"/>
      <c r="H310" s="57"/>
      <c r="I310" s="57"/>
      <c r="J310" s="57"/>
      <c r="K310" s="5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26">
        <v>44127.0</v>
      </c>
      <c r="B311" s="57"/>
      <c r="C311" s="57"/>
      <c r="D311" s="57"/>
      <c r="E311" s="64"/>
      <c r="F311" s="64">
        <f>-sum(20.23,38.12,2.24,61.86)</f>
        <v>-122.45</v>
      </c>
      <c r="G311" s="57"/>
      <c r="H311" s="57"/>
      <c r="I311" s="57"/>
      <c r="J311" s="57"/>
      <c r="K311" s="5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6">
        <v>44128.0</v>
      </c>
      <c r="B312" s="57"/>
      <c r="C312" s="57"/>
      <c r="D312" s="57"/>
      <c r="E312" s="64"/>
      <c r="F312" s="64">
        <v>-80.95</v>
      </c>
      <c r="G312" s="64"/>
      <c r="H312" s="57"/>
      <c r="I312" s="57"/>
      <c r="J312" s="57"/>
      <c r="K312" s="57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6">
        <v>44129.0</v>
      </c>
      <c r="B313" s="57"/>
      <c r="C313" s="57"/>
      <c r="D313" s="57"/>
      <c r="E313" s="57"/>
      <c r="F313" s="64">
        <v>-28.0</v>
      </c>
      <c r="G313" s="57"/>
      <c r="H313" s="57"/>
      <c r="I313" s="57"/>
      <c r="J313" s="57"/>
      <c r="K313" s="5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6">
        <v>44130.0</v>
      </c>
      <c r="B314" s="57"/>
      <c r="C314" s="57"/>
      <c r="D314" s="57"/>
      <c r="E314" s="57"/>
      <c r="F314" s="64">
        <f>-SUM(30,38.9,-59.5)</f>
        <v>-9.4</v>
      </c>
      <c r="G314" s="64">
        <v>-600.0</v>
      </c>
      <c r="H314" s="57"/>
      <c r="I314" s="57"/>
      <c r="J314" s="57"/>
      <c r="K314" s="57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6">
        <v>44131.0</v>
      </c>
      <c r="B315" s="57"/>
      <c r="C315" s="57"/>
      <c r="D315" s="57"/>
      <c r="E315" s="57"/>
      <c r="F315" s="57">
        <f>-SUM(14.69,69.68,56.65,33.02)</f>
        <v>-174.04</v>
      </c>
      <c r="G315" s="57"/>
      <c r="H315" s="57"/>
      <c r="I315" s="57"/>
      <c r="J315" s="57"/>
      <c r="K315" s="5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6">
        <v>44132.0</v>
      </c>
      <c r="B316" s="57"/>
      <c r="C316" s="57"/>
      <c r="D316" s="57"/>
      <c r="E316" s="64"/>
      <c r="F316" s="57"/>
      <c r="G316" s="57"/>
      <c r="H316" s="57"/>
      <c r="I316" s="57"/>
      <c r="J316" s="57"/>
      <c r="K316" s="5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6">
        <v>44133.0</v>
      </c>
      <c r="B317" s="57"/>
      <c r="C317" s="57"/>
      <c r="D317" s="57"/>
      <c r="E317" s="57"/>
      <c r="F317" s="64">
        <f>-sum(24.95)</f>
        <v>-24.95</v>
      </c>
      <c r="G317" s="64"/>
      <c r="H317" s="57"/>
      <c r="I317" s="57"/>
      <c r="J317" s="57"/>
      <c r="K317" s="57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6">
        <v>44134.0</v>
      </c>
      <c r="B318" s="57"/>
      <c r="C318" s="57"/>
      <c r="D318" s="57"/>
      <c r="E318" s="64"/>
      <c r="F318" s="64">
        <v>-9.04</v>
      </c>
      <c r="G318" s="57"/>
      <c r="H318" s="57"/>
      <c r="I318" s="57"/>
      <c r="J318" s="57"/>
      <c r="K318" s="57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6">
        <v>44135.0</v>
      </c>
      <c r="B319" s="57"/>
      <c r="C319" s="57"/>
      <c r="D319" s="57"/>
      <c r="E319" s="64">
        <v>-48.17</v>
      </c>
      <c r="F319" s="64">
        <v>-10.46</v>
      </c>
      <c r="G319" s="64">
        <v>-744.1</v>
      </c>
      <c r="H319" s="57"/>
      <c r="I319" s="57"/>
      <c r="J319" s="57"/>
      <c r="K319" s="57">
        <f>-sum(25,85)</f>
        <v>-110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6">
        <v>44136.0</v>
      </c>
      <c r="B320" s="57"/>
      <c r="C320" s="57"/>
      <c r="D320" s="57"/>
      <c r="E320" s="57"/>
      <c r="F320" s="57">
        <f>-sum(27.55,12.5,66.95,12.53,5.5,3.5,14.75,8.79)</f>
        <v>-152.07</v>
      </c>
      <c r="G320" s="57"/>
      <c r="H320" s="57"/>
      <c r="I320" s="57"/>
      <c r="J320" s="57"/>
      <c r="K320" s="57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6">
        <v>44137.0</v>
      </c>
      <c r="B321" s="57"/>
      <c r="C321" s="57"/>
      <c r="D321" s="57"/>
      <c r="E321" s="64"/>
      <c r="F321" s="57"/>
      <c r="G321" s="64">
        <v>-70.0</v>
      </c>
      <c r="H321" s="57"/>
      <c r="I321" s="57"/>
      <c r="J321" s="57"/>
      <c r="K321" s="57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6">
        <v>44138.0</v>
      </c>
      <c r="B322" s="57"/>
      <c r="C322" s="57"/>
      <c r="D322" s="57"/>
      <c r="E322" s="57"/>
      <c r="F322" s="57"/>
      <c r="G322" s="57"/>
      <c r="H322" s="57"/>
      <c r="I322" s="57"/>
      <c r="J322" s="64">
        <v>-231.75</v>
      </c>
      <c r="K322" s="57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6">
        <v>44139.0</v>
      </c>
      <c r="B323" s="57"/>
      <c r="C323" s="57"/>
      <c r="D323" s="57"/>
      <c r="E323" s="64"/>
      <c r="F323" s="57">
        <f>-sum(19.85,10,34)</f>
        <v>-63.85</v>
      </c>
      <c r="G323" s="57"/>
      <c r="H323" s="57"/>
      <c r="I323" s="57"/>
      <c r="J323" s="64">
        <v>-455.12</v>
      </c>
      <c r="K323" s="57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6">
        <v>44140.0</v>
      </c>
      <c r="B324" s="57"/>
      <c r="C324" s="57"/>
      <c r="D324" s="57"/>
      <c r="E324" s="64"/>
      <c r="F324" s="57"/>
      <c r="G324" s="57"/>
      <c r="H324" s="57"/>
      <c r="I324" s="57"/>
      <c r="J324" s="57"/>
      <c r="K324" s="57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6">
        <v>44141.0</v>
      </c>
      <c r="B325" s="57"/>
      <c r="C325" s="57"/>
      <c r="D325" s="57"/>
      <c r="E325" s="64">
        <v>-47.13</v>
      </c>
      <c r="F325" s="57">
        <f>-sum(27.53,59.93,18.18)</f>
        <v>-105.64</v>
      </c>
      <c r="G325" s="57"/>
      <c r="H325" s="57"/>
      <c r="I325" s="57"/>
      <c r="J325" s="57"/>
      <c r="K325" s="64">
        <v>-115.0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6">
        <v>44142.0</v>
      </c>
      <c r="B326" s="57"/>
      <c r="C326" s="57"/>
      <c r="D326" s="57"/>
      <c r="E326" s="57"/>
      <c r="F326" s="64">
        <v>135.0</v>
      </c>
      <c r="G326" s="57"/>
      <c r="H326" s="57"/>
      <c r="I326" s="57"/>
      <c r="J326" s="57"/>
      <c r="K326" s="57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6">
        <v>44143.0</v>
      </c>
      <c r="B327" s="57"/>
      <c r="C327" s="57"/>
      <c r="D327" s="57"/>
      <c r="E327" s="64"/>
      <c r="F327" s="64">
        <v>-36.7</v>
      </c>
      <c r="G327" s="57"/>
      <c r="H327" s="57"/>
      <c r="I327" s="57"/>
      <c r="J327" s="57"/>
      <c r="K327" s="57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6">
        <v>44144.0</v>
      </c>
      <c r="B328" s="57"/>
      <c r="C328" s="57"/>
      <c r="D328" s="57"/>
      <c r="E328" s="57"/>
      <c r="F328" s="57">
        <f>-sum(16.31,25.48)</f>
        <v>-41.79</v>
      </c>
      <c r="G328" s="64">
        <v>-600.0</v>
      </c>
      <c r="H328" s="57"/>
      <c r="I328" s="57"/>
      <c r="J328" s="64">
        <v>-69.99</v>
      </c>
      <c r="K328" s="57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6">
        <v>44145.0</v>
      </c>
      <c r="B329" s="57"/>
      <c r="C329" s="57"/>
      <c r="D329" s="57"/>
      <c r="E329" s="64"/>
      <c r="F329" s="64">
        <v>-46.84</v>
      </c>
      <c r="G329" s="57"/>
      <c r="H329" s="57"/>
      <c r="I329" s="57"/>
      <c r="J329" s="64">
        <v>-14.74</v>
      </c>
      <c r="K329" s="64">
        <v>-95.0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6">
        <v>44146.0</v>
      </c>
      <c r="B330" s="57"/>
      <c r="C330" s="57"/>
      <c r="D330" s="57"/>
      <c r="E330" s="57"/>
      <c r="F330" s="64">
        <v>-141.47</v>
      </c>
      <c r="G330" s="57"/>
      <c r="H330" s="57"/>
      <c r="I330" s="57"/>
      <c r="J330" s="64">
        <v>-287.42</v>
      </c>
      <c r="K330" s="64">
        <v>-870.0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6">
        <v>44147.0</v>
      </c>
      <c r="B331" s="57"/>
      <c r="C331" s="57"/>
      <c r="D331" s="57"/>
      <c r="E331" s="64">
        <v>-35.41</v>
      </c>
      <c r="F331" s="57">
        <f>-sum(45.09,6.75)</f>
        <v>-51.84</v>
      </c>
      <c r="G331" s="57"/>
      <c r="H331" s="57"/>
      <c r="I331" s="57"/>
      <c r="J331" s="57"/>
      <c r="K331" s="57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6">
        <v>44148.0</v>
      </c>
      <c r="B332" s="57"/>
      <c r="C332" s="57"/>
      <c r="D332" s="57"/>
      <c r="E332" s="57"/>
      <c r="F332" s="64">
        <v>-120.0</v>
      </c>
      <c r="G332" s="57"/>
      <c r="H332" s="57"/>
      <c r="I332" s="57"/>
      <c r="J332" s="57"/>
      <c r="K332" s="57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6">
        <v>44149.0</v>
      </c>
      <c r="B333" s="57"/>
      <c r="C333" s="57"/>
      <c r="D333" s="57"/>
      <c r="E333" s="64"/>
      <c r="F333" s="57">
        <f>-sum(4.85,14.7,6.5,5.44)</f>
        <v>-31.49</v>
      </c>
      <c r="G333" s="57"/>
      <c r="H333" s="57"/>
      <c r="I333" s="57"/>
      <c r="J333" s="57"/>
      <c r="K333" s="5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6">
        <v>44150.0</v>
      </c>
      <c r="B334" s="57"/>
      <c r="C334" s="57"/>
      <c r="D334" s="57"/>
      <c r="E334" s="64"/>
      <c r="F334" s="64">
        <v>-36.7</v>
      </c>
      <c r="G334" s="57"/>
      <c r="H334" s="57"/>
      <c r="I334" s="57"/>
      <c r="J334" s="57"/>
      <c r="K334" s="64">
        <v>-580.0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6">
        <v>44151.0</v>
      </c>
      <c r="B335" s="57"/>
      <c r="C335" s="57"/>
      <c r="D335" s="57"/>
      <c r="E335" s="64"/>
      <c r="F335" s="64"/>
      <c r="G335" s="57"/>
      <c r="H335" s="57"/>
      <c r="I335" s="57"/>
      <c r="J335" s="57"/>
      <c r="K335" s="57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6">
        <v>44152.0</v>
      </c>
      <c r="B336" s="57"/>
      <c r="C336" s="57"/>
      <c r="D336" s="57"/>
      <c r="E336" s="64"/>
      <c r="F336" s="64">
        <f>-sum(1.95,4.15,14.1,7.56)</f>
        <v>-27.76</v>
      </c>
      <c r="G336" s="57"/>
      <c r="H336" s="57"/>
      <c r="I336" s="57"/>
      <c r="J336" s="57"/>
      <c r="K336" s="57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6">
        <v>44153.0</v>
      </c>
      <c r="B337" s="57"/>
      <c r="C337" s="57"/>
      <c r="D337" s="57"/>
      <c r="E337" s="64"/>
      <c r="F337" s="57">
        <f>-sum(2,3,2.8,45)</f>
        <v>-52.8</v>
      </c>
      <c r="G337" s="57"/>
      <c r="H337" s="57"/>
      <c r="I337" s="57"/>
      <c r="J337" s="57"/>
      <c r="K337" s="64">
        <v>-15.96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6">
        <v>44154.0</v>
      </c>
      <c r="B338" s="57"/>
      <c r="C338" s="57"/>
      <c r="D338" s="57"/>
      <c r="E338" s="64"/>
      <c r="F338" s="57">
        <f>-sum(13,12.93,29.9,17.25)</f>
        <v>-73.08</v>
      </c>
      <c r="G338" s="57"/>
      <c r="H338" s="57"/>
      <c r="I338" s="57"/>
      <c r="J338" s="57"/>
      <c r="K338" s="64">
        <v>-17.6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6">
        <v>44155.0</v>
      </c>
      <c r="B339" s="57"/>
      <c r="C339" s="57"/>
      <c r="D339" s="57"/>
      <c r="E339" s="64">
        <v>-39.11</v>
      </c>
      <c r="F339" s="57"/>
      <c r="G339" s="57"/>
      <c r="H339" s="57"/>
      <c r="I339" s="57"/>
      <c r="J339" s="57"/>
      <c r="K339" s="64">
        <v>-95.0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6">
        <v>44156.0</v>
      </c>
      <c r="B340" s="57"/>
      <c r="C340" s="57"/>
      <c r="D340" s="57"/>
      <c r="E340" s="57"/>
      <c r="F340" s="64">
        <f>-sum(11.19,3.9,6.95)</f>
        <v>-22.04</v>
      </c>
      <c r="G340" s="57"/>
      <c r="H340" s="57"/>
      <c r="I340" s="57"/>
      <c r="J340" s="57"/>
      <c r="K340" s="57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6">
        <v>44157.0</v>
      </c>
      <c r="B341" s="57"/>
      <c r="C341" s="57"/>
      <c r="D341" s="57"/>
      <c r="E341" s="64"/>
      <c r="F341" s="64">
        <f>-sum(38.53,5.6,36.65,14.12,108,21.77,5.67)</f>
        <v>-230.34</v>
      </c>
      <c r="G341" s="57"/>
      <c r="H341" s="57"/>
      <c r="I341" s="57"/>
      <c r="J341" s="57"/>
      <c r="K341" s="57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6">
        <v>44158.0</v>
      </c>
      <c r="B342" s="57"/>
      <c r="C342" s="57"/>
      <c r="D342" s="57"/>
      <c r="E342" s="57"/>
      <c r="F342" s="57">
        <f>-sum(53.95)</f>
        <v>-53.95</v>
      </c>
      <c r="G342" s="64">
        <v>-600.0</v>
      </c>
      <c r="H342" s="64">
        <v>-687.29</v>
      </c>
      <c r="I342" s="57"/>
      <c r="J342" s="57"/>
      <c r="K342" s="57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26">
        <v>44159.0</v>
      </c>
      <c r="B343" s="57"/>
      <c r="C343" s="57"/>
      <c r="D343" s="57"/>
      <c r="E343" s="57"/>
      <c r="F343" s="64">
        <f>-sum(26.73,9.6,45.45)</f>
        <v>-81.78</v>
      </c>
      <c r="G343" s="57"/>
      <c r="H343" s="57"/>
      <c r="I343" s="57"/>
      <c r="J343" s="57"/>
      <c r="K343" s="57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26">
        <v>44160.0</v>
      </c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26">
        <v>44161.0</v>
      </c>
      <c r="B345" s="57"/>
      <c r="C345" s="57"/>
      <c r="D345" s="57"/>
      <c r="E345" s="64"/>
      <c r="F345" s="57">
        <f>-sum(14.5,15.96,27.94)</f>
        <v>-58.4</v>
      </c>
      <c r="G345" s="57"/>
      <c r="H345" s="57"/>
      <c r="I345" s="57"/>
      <c r="J345" s="57"/>
      <c r="K345" s="64">
        <v>-95.0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26">
        <v>44162.0</v>
      </c>
      <c r="B346" s="57"/>
      <c r="C346" s="57"/>
      <c r="D346" s="57"/>
      <c r="E346" s="57"/>
      <c r="F346" s="57">
        <f>-sum(12.99,12.99)</f>
        <v>-25.98</v>
      </c>
      <c r="G346" s="57"/>
      <c r="H346" s="57"/>
      <c r="I346" s="57"/>
      <c r="J346" s="57"/>
      <c r="K346" s="57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26">
        <v>44163.0</v>
      </c>
      <c r="B347" s="57"/>
      <c r="C347" s="57"/>
      <c r="D347" s="57"/>
      <c r="E347" s="57"/>
      <c r="F347" s="57">
        <f>-sum(30,10.64,21.8,3.5)</f>
        <v>-65.94</v>
      </c>
      <c r="G347" s="57"/>
      <c r="H347" s="57"/>
      <c r="I347" s="57"/>
      <c r="J347" s="57"/>
      <c r="K347" s="57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26">
        <v>44164.0</v>
      </c>
      <c r="B348" s="57"/>
      <c r="C348" s="57"/>
      <c r="D348" s="57"/>
      <c r="E348" s="64">
        <v>-33.8</v>
      </c>
      <c r="F348" s="57">
        <f>-sum(12,6,99,52.86)</f>
        <v>-169.86</v>
      </c>
      <c r="G348" s="57"/>
      <c r="H348" s="57"/>
      <c r="I348" s="57"/>
      <c r="J348" s="57"/>
      <c r="K348" s="64">
        <v>-10.0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26">
        <v>44165.0</v>
      </c>
      <c r="B349" s="57"/>
      <c r="C349" s="57"/>
      <c r="D349" s="57"/>
      <c r="E349" s="57"/>
      <c r="F349" s="57">
        <f>-sum(36.41,12.11,13.8,13.8)</f>
        <v>-76.12</v>
      </c>
      <c r="G349" s="64">
        <f>-sum(38.52,149,2.7,15.75)</f>
        <v>-205.97</v>
      </c>
      <c r="H349" s="57"/>
      <c r="I349" s="57"/>
      <c r="J349" s="64">
        <v>-15.12</v>
      </c>
      <c r="K349" s="57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26">
        <v>44166.0</v>
      </c>
      <c r="B350" s="57"/>
      <c r="C350" s="57"/>
      <c r="D350" s="57"/>
      <c r="E350" s="57"/>
      <c r="F350" s="57">
        <f>-sum(-12.99,53.87,29.72,8.8,35.8,6.89)</f>
        <v>-122.09</v>
      </c>
      <c r="G350" s="64">
        <v>-70.0</v>
      </c>
      <c r="H350" s="57"/>
      <c r="I350" s="57"/>
      <c r="J350" s="57"/>
      <c r="K350" s="57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26">
        <v>44167.0</v>
      </c>
      <c r="B351" s="57"/>
      <c r="C351" s="57"/>
      <c r="D351" s="57"/>
      <c r="E351" s="57"/>
      <c r="F351" s="57">
        <f>-sum(12.73,6.51,7.34)</f>
        <v>-26.58</v>
      </c>
      <c r="G351" s="57"/>
      <c r="H351" s="57"/>
      <c r="I351" s="57"/>
      <c r="J351" s="57"/>
      <c r="K351" s="57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26">
        <v>44168.0</v>
      </c>
      <c r="B352" s="57"/>
      <c r="C352" s="57"/>
      <c r="D352" s="57"/>
      <c r="E352" s="64">
        <v>-4.05</v>
      </c>
      <c r="F352" s="57">
        <f>-sum(19.52,45)</f>
        <v>-64.52</v>
      </c>
      <c r="G352" s="57"/>
      <c r="H352" s="57"/>
      <c r="I352" s="57"/>
      <c r="J352" s="57"/>
      <c r="K352" s="57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26">
        <v>44169.0</v>
      </c>
      <c r="B353" s="57"/>
      <c r="C353" s="57"/>
      <c r="D353" s="57"/>
      <c r="E353" s="57"/>
      <c r="F353" s="64">
        <v>-10.9</v>
      </c>
      <c r="G353" s="57"/>
      <c r="H353" s="57"/>
      <c r="I353" s="57"/>
      <c r="J353" s="57"/>
      <c r="K353" s="64">
        <v>-95.0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26">
        <v>44170.0</v>
      </c>
      <c r="B354" s="57"/>
      <c r="C354" s="57"/>
      <c r="D354" s="57"/>
      <c r="E354" s="57"/>
      <c r="F354" s="57">
        <f>-sum(12.5,10.46,8.83,4.8)</f>
        <v>-36.59</v>
      </c>
      <c r="G354" s="57"/>
      <c r="H354" s="57"/>
      <c r="I354" s="57"/>
      <c r="J354" s="57"/>
      <c r="K354" s="57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26">
        <v>44171.0</v>
      </c>
      <c r="B355" s="57"/>
      <c r="C355" s="57"/>
      <c r="D355" s="57"/>
      <c r="E355" s="64">
        <v>-54.92</v>
      </c>
      <c r="F355" s="64">
        <f>-sum(80.51,79.13)</f>
        <v>-159.64</v>
      </c>
      <c r="G355" s="57"/>
      <c r="H355" s="57"/>
      <c r="I355" s="57"/>
      <c r="J355" s="57"/>
      <c r="K355" s="57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26">
        <v>44172.0</v>
      </c>
      <c r="B356" s="57"/>
      <c r="C356" s="57"/>
      <c r="D356" s="57"/>
      <c r="E356" s="57"/>
      <c r="F356" s="57">
        <f>-sum(27.88,26.14,16.07)</f>
        <v>-70.09</v>
      </c>
      <c r="G356" s="64">
        <v>-600.0</v>
      </c>
      <c r="H356" s="57"/>
      <c r="I356" s="57"/>
      <c r="J356" s="57">
        <f>-sum(144,78,40.25)</f>
        <v>-262.25</v>
      </c>
      <c r="K356" s="5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26">
        <v>44173.0</v>
      </c>
      <c r="B357" s="57"/>
      <c r="C357" s="57"/>
      <c r="D357" s="57"/>
      <c r="E357" s="57"/>
      <c r="F357" s="57">
        <f>-sum(7.01,9,8.16)</f>
        <v>-24.17</v>
      </c>
      <c r="G357" s="64">
        <v>-141.68</v>
      </c>
      <c r="H357" s="57"/>
      <c r="I357" s="57"/>
      <c r="J357" s="57"/>
      <c r="K357" s="57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26">
        <v>44174.0</v>
      </c>
      <c r="B358" s="57"/>
      <c r="C358" s="57"/>
      <c r="D358" s="57"/>
      <c r="E358" s="57"/>
      <c r="F358" s="57">
        <f>-sum(10,3,5.35)</f>
        <v>-18.35</v>
      </c>
      <c r="G358" s="57"/>
      <c r="H358" s="57"/>
      <c r="I358" s="57"/>
      <c r="J358" s="57"/>
      <c r="K358" s="57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26">
        <v>44175.0</v>
      </c>
      <c r="B359" s="57"/>
      <c r="C359" s="57"/>
      <c r="D359" s="57"/>
      <c r="E359" s="57"/>
      <c r="F359" s="57">
        <f>-sum(6.7,12.2,2.02)</f>
        <v>-20.92</v>
      </c>
      <c r="G359" s="57"/>
      <c r="H359" s="57"/>
      <c r="I359" s="57"/>
      <c r="J359" s="57"/>
      <c r="K359" s="57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26">
        <v>44176.0</v>
      </c>
      <c r="B360" s="57"/>
      <c r="C360" s="57"/>
      <c r="D360" s="57"/>
      <c r="E360" s="57"/>
      <c r="F360" s="57">
        <f>-sum(1.35,31)</f>
        <v>-32.35</v>
      </c>
      <c r="G360" s="57"/>
      <c r="H360" s="57"/>
      <c r="I360" s="57"/>
      <c r="J360" s="57"/>
      <c r="K360" s="57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26">
        <v>44177.0</v>
      </c>
      <c r="B361" s="57"/>
      <c r="C361" s="57"/>
      <c r="D361" s="57"/>
      <c r="E361" s="64">
        <v>-61.16</v>
      </c>
      <c r="F361" s="57">
        <f>-sum(11.3,9.9,25.85,31.56,5.92)</f>
        <v>-84.53</v>
      </c>
      <c r="G361" s="64">
        <v>-131.08</v>
      </c>
      <c r="H361" s="57"/>
      <c r="I361" s="57"/>
      <c r="J361" s="57"/>
      <c r="K361" s="57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26">
        <v>44178.0</v>
      </c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26">
        <v>44179.0</v>
      </c>
      <c r="B363" s="57"/>
      <c r="C363" s="57"/>
      <c r="D363" s="57"/>
      <c r="E363" s="57"/>
      <c r="F363" s="64">
        <v>-14.59</v>
      </c>
      <c r="G363" s="57"/>
      <c r="H363" s="57"/>
      <c r="I363" s="57"/>
      <c r="J363" s="57"/>
      <c r="K363" s="57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26">
        <v>44180.0</v>
      </c>
      <c r="B364" s="57"/>
      <c r="C364" s="57"/>
      <c r="D364" s="57"/>
      <c r="E364" s="57"/>
      <c r="F364" s="57">
        <f>-sum(63,19.8,19.04,8.17,3.19,4.3,2.8,6.74,14.1,-30.6)</f>
        <v>-110.54</v>
      </c>
      <c r="G364" s="57"/>
      <c r="H364" s="57"/>
      <c r="I364" s="57"/>
      <c r="J364" s="57"/>
      <c r="K364" s="57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26">
        <v>44181.0</v>
      </c>
      <c r="B365" s="57"/>
      <c r="C365" s="57"/>
      <c r="D365" s="57"/>
      <c r="E365" s="57"/>
      <c r="F365" s="57">
        <f>-sum(11.2,9.5,12.58,33.79)</f>
        <v>-67.07</v>
      </c>
      <c r="G365" s="57"/>
      <c r="H365" s="57"/>
      <c r="I365" s="57"/>
      <c r="J365" s="57"/>
      <c r="K365" s="57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26">
        <v>44182.0</v>
      </c>
      <c r="B366" s="57"/>
      <c r="C366" s="57"/>
      <c r="D366" s="57"/>
      <c r="E366" s="57"/>
      <c r="F366" s="57">
        <f>-sum(29.22,19.19,-51.04,80.03)</f>
        <v>-77.4</v>
      </c>
      <c r="G366" s="57"/>
      <c r="H366" s="57"/>
      <c r="I366" s="57"/>
      <c r="J366" s="57"/>
      <c r="K366" s="57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26">
        <v>44183.0</v>
      </c>
      <c r="B367" s="57"/>
      <c r="C367" s="57"/>
      <c r="D367" s="57"/>
      <c r="E367" s="57"/>
      <c r="F367" s="64">
        <f>-sum(12.32,41.23)</f>
        <v>-53.55</v>
      </c>
      <c r="G367" s="57"/>
      <c r="H367" s="57"/>
      <c r="I367" s="57"/>
      <c r="J367" s="57"/>
      <c r="K367" s="64">
        <v>-95.0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26">
        <v>44184.0</v>
      </c>
      <c r="B368" s="57"/>
      <c r="C368" s="57"/>
      <c r="D368" s="57"/>
      <c r="E368" s="57"/>
      <c r="F368" s="57">
        <f>-sum(5.6,6)</f>
        <v>-11.6</v>
      </c>
      <c r="G368" s="57"/>
      <c r="H368" s="57"/>
      <c r="I368" s="57"/>
      <c r="J368" s="57"/>
      <c r="K368" s="57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26">
        <v>44185.0</v>
      </c>
      <c r="B369" s="57"/>
      <c r="C369" s="57"/>
      <c r="D369" s="57"/>
      <c r="E369" s="64">
        <v>-3.08</v>
      </c>
      <c r="F369" s="57">
        <f>-sum(22.8,4,5,24.8)</f>
        <v>-56.6</v>
      </c>
      <c r="G369" s="57"/>
      <c r="H369" s="57"/>
      <c r="I369" s="57"/>
      <c r="J369" s="57"/>
      <c r="K369" s="57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26">
        <v>44186.0</v>
      </c>
      <c r="B370" s="57"/>
      <c r="C370" s="57"/>
      <c r="D370" s="57"/>
      <c r="E370" s="64">
        <v>-52.17</v>
      </c>
      <c r="F370" s="57">
        <f>-sum(30.04,8,11,8.61)</f>
        <v>-57.65</v>
      </c>
      <c r="G370" s="64">
        <v>-600.0</v>
      </c>
      <c r="H370" s="57"/>
      <c r="I370" s="57"/>
      <c r="J370" s="57"/>
      <c r="K370" s="57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26">
        <v>44187.0</v>
      </c>
      <c r="B371" s="57"/>
      <c r="C371" s="57"/>
      <c r="D371" s="57"/>
      <c r="E371" s="57"/>
      <c r="F371" s="57">
        <f>-sum(11,16.8,18,4.5)</f>
        <v>-50.3</v>
      </c>
      <c r="G371" s="57"/>
      <c r="H371" s="57"/>
      <c r="I371" s="57"/>
      <c r="J371" s="57"/>
      <c r="K371" s="57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26">
        <v>44188.0</v>
      </c>
      <c r="B372" s="57"/>
      <c r="C372" s="57"/>
      <c r="D372" s="57"/>
      <c r="E372" s="57"/>
      <c r="F372" s="57">
        <f>-sum(23,61.45,20.67,11.82)</f>
        <v>-116.94</v>
      </c>
      <c r="G372" s="57"/>
      <c r="H372" s="57"/>
      <c r="I372" s="57"/>
      <c r="J372" s="57"/>
      <c r="K372" s="57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26">
        <v>44189.0</v>
      </c>
      <c r="B373" s="57"/>
      <c r="C373" s="57"/>
      <c r="D373" s="57"/>
      <c r="E373" s="57"/>
      <c r="F373" s="57">
        <f>-sum(16.3,5.6)</f>
        <v>-21.9</v>
      </c>
      <c r="G373" s="57"/>
      <c r="H373" s="57"/>
      <c r="I373" s="57"/>
      <c r="J373" s="57"/>
      <c r="K373" s="64">
        <v>-100.0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26">
        <v>44190.0</v>
      </c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26">
        <v>44191.0</v>
      </c>
      <c r="B375" s="57"/>
      <c r="C375" s="57"/>
      <c r="D375" s="57"/>
      <c r="E375" s="57"/>
      <c r="F375" s="57">
        <f>-sum(5.4,32.85,11.44,22.25)</f>
        <v>-71.94</v>
      </c>
      <c r="G375" s="57"/>
      <c r="H375" s="57"/>
      <c r="I375" s="57"/>
      <c r="J375" s="64">
        <v>-38.95</v>
      </c>
      <c r="K375" s="64">
        <v>-124.67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26">
        <v>44192.0</v>
      </c>
      <c r="B376" s="57"/>
      <c r="C376" s="57"/>
      <c r="D376" s="57"/>
      <c r="E376" s="57"/>
      <c r="F376" s="57">
        <f>-sum(-80,13.74,39.87,36.35,29.98)</f>
        <v>-39.94</v>
      </c>
      <c r="G376" s="57"/>
      <c r="H376" s="57"/>
      <c r="I376" s="64">
        <v>-44.49</v>
      </c>
      <c r="J376" s="64">
        <v>-51.99</v>
      </c>
      <c r="K376" s="57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26">
        <v>44193.0</v>
      </c>
      <c r="B377" s="57"/>
      <c r="C377" s="57"/>
      <c r="D377" s="57"/>
      <c r="E377" s="57"/>
      <c r="F377" s="57">
        <f>-sum(8.2,10,20)</f>
        <v>-38.2</v>
      </c>
      <c r="G377" s="57"/>
      <c r="H377" s="57"/>
      <c r="I377" s="57"/>
      <c r="J377" s="57"/>
      <c r="K377" s="64">
        <v>-95.0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26">
        <v>44194.0</v>
      </c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26">
        <v>44195.0</v>
      </c>
      <c r="B379" s="57"/>
      <c r="C379" s="57"/>
      <c r="D379" s="57"/>
      <c r="E379" s="64">
        <v>-41.96</v>
      </c>
      <c r="F379" s="57">
        <f>-sum(5,2.8,-12.99,5.77)</f>
        <v>-0.58</v>
      </c>
      <c r="G379" s="57"/>
      <c r="H379" s="57"/>
      <c r="I379" s="57"/>
      <c r="J379" s="57"/>
      <c r="K379" s="57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26">
        <v>44196.0</v>
      </c>
      <c r="B380" s="57"/>
      <c r="C380" s="57"/>
      <c r="D380" s="57"/>
      <c r="E380" s="57"/>
      <c r="F380" s="57">
        <f>-sum(4.9,13,8,25.41,6.5)</f>
        <v>-57.81</v>
      </c>
      <c r="G380" s="57"/>
      <c r="H380" s="57"/>
      <c r="I380" s="57"/>
      <c r="J380" s="64">
        <v>-41.0</v>
      </c>
      <c r="K380" s="57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26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8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8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8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A1004" s="8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>
      <c r="A1005" s="8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>
      <c r="A1006" s="8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>
      <c r="A1007" s="8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</row>
    <row r="1008">
      <c r="A1008" s="8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>
      <c r="A1009" s="8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>
      <c r="A1010" s="8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>
      <c r="A1011" s="8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  <row r="1012">
      <c r="A1012" s="8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</row>
    <row r="1013">
      <c r="A1013" s="8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</row>
    <row r="1014">
      <c r="A1014" s="8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</row>
  </sheetData>
  <mergeCells count="2">
    <mergeCell ref="N52:N54"/>
    <mergeCell ref="N57:N59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15.88"/>
  </cols>
  <sheetData>
    <row r="1" ht="16.5" customHeight="1">
      <c r="A1" s="7"/>
      <c r="B1" s="34" t="s">
        <v>33</v>
      </c>
      <c r="C1" s="34" t="s">
        <v>13</v>
      </c>
      <c r="D1" s="34" t="s">
        <v>14</v>
      </c>
      <c r="E1" s="34" t="s">
        <v>15</v>
      </c>
      <c r="F1" s="34" t="s">
        <v>16</v>
      </c>
      <c r="G1" s="35"/>
      <c r="H1" s="42" t="s">
        <v>34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/>
      <c r="B2" s="47">
        <f>sum(C2:F2)</f>
        <v>76938.88</v>
      </c>
      <c r="C2" s="47">
        <f t="shared" ref="C2:F2" si="1">sum(C3:C1000)</f>
        <v>3780.49</v>
      </c>
      <c r="D2" s="47">
        <f t="shared" si="1"/>
        <v>25139.03</v>
      </c>
      <c r="E2" s="47">
        <f t="shared" si="1"/>
        <v>36654.47</v>
      </c>
      <c r="F2" s="47">
        <f t="shared" si="1"/>
        <v>11364.89</v>
      </c>
      <c r="G2" s="35"/>
      <c r="H2" s="43">
        <f>SUM(H3:H1000)</f>
        <v>76938.88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29" t="s">
        <v>17</v>
      </c>
      <c r="B3" s="8">
        <f t="shared" ref="B3:B14" si="2">SUM(C3:F3)</f>
        <v>5800</v>
      </c>
      <c r="C3" s="8">
        <f>sum(468.82,25.2)</f>
        <v>494.02</v>
      </c>
      <c r="D3" s="29">
        <f>sum(747.29,456.21)</f>
        <v>1203.5</v>
      </c>
      <c r="E3" s="29">
        <f>SUM(1645.22,1119.7)</f>
        <v>2764.92</v>
      </c>
      <c r="F3" s="29">
        <f>sum(668.78*2)</f>
        <v>1337.56</v>
      </c>
      <c r="G3" s="8"/>
      <c r="H3" s="8">
        <f>SUM(B3,'2020'!M15)</f>
        <v>5800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9" t="s">
        <v>29</v>
      </c>
      <c r="B4" s="8">
        <f t="shared" si="2"/>
        <v>6670.56</v>
      </c>
      <c r="C4" s="8">
        <f>sum(494.82,26.6)</f>
        <v>521.42</v>
      </c>
      <c r="D4" s="29">
        <f>sum(1171.42,1110.19)</f>
        <v>2281.61</v>
      </c>
      <c r="E4" s="29">
        <f>sum(1440.13,1089.84)</f>
        <v>2529.97</v>
      </c>
      <c r="F4" s="29">
        <f>668.78*2</f>
        <v>1337.56</v>
      </c>
      <c r="G4" s="8"/>
      <c r="H4" s="8">
        <f>SUM(B4,'2020'!M16)</f>
        <v>6670.56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9" t="s">
        <v>19</v>
      </c>
      <c r="B5" s="8">
        <f t="shared" si="2"/>
        <v>6975.52</v>
      </c>
      <c r="C5" s="29">
        <f>sum(176.3,119.97)</f>
        <v>296.27</v>
      </c>
      <c r="D5" s="29">
        <f>sum(825.37,708.84)</f>
        <v>1534.21</v>
      </c>
      <c r="E5" s="8">
        <f>sum(1357.9,1424.18,1349.48)</f>
        <v>4131.56</v>
      </c>
      <c r="F5" s="29">
        <f>sum(668.78,344.7)</f>
        <v>1013.48</v>
      </c>
      <c r="G5" s="8"/>
      <c r="H5" s="8">
        <f>SUM(B5,'2020'!M17)</f>
        <v>6975.52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9" t="s">
        <v>20</v>
      </c>
      <c r="B6" s="8">
        <f t="shared" si="2"/>
        <v>5752.06</v>
      </c>
      <c r="C6" s="29">
        <v>396.82</v>
      </c>
      <c r="D6" s="29">
        <v>750.0</v>
      </c>
      <c r="E6" s="8">
        <f>sum(2147.25,1768.59)</f>
        <v>3915.84</v>
      </c>
      <c r="F6" s="29">
        <f>344.7*2</f>
        <v>689.4</v>
      </c>
      <c r="G6" s="8"/>
      <c r="H6" s="8">
        <f>SUM(B6,'2020'!M18)</f>
        <v>5752.06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9" t="s">
        <v>21</v>
      </c>
      <c r="B7" s="8">
        <f t="shared" si="2"/>
        <v>4718.97</v>
      </c>
      <c r="C7" s="29">
        <v>336.15</v>
      </c>
      <c r="D7" s="29">
        <v>1000.0</v>
      </c>
      <c r="E7" s="29">
        <f>sum(1310.08,1405.34)</f>
        <v>2715.42</v>
      </c>
      <c r="F7" s="29">
        <f>333.7*2</f>
        <v>667.4</v>
      </c>
      <c r="G7" s="8"/>
      <c r="H7" s="8">
        <f>SUM(B7,'2020'!M19)</f>
        <v>4718.97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9" t="s">
        <v>22</v>
      </c>
      <c r="B8" s="8">
        <f t="shared" si="2"/>
        <v>6233.97</v>
      </c>
      <c r="C8" s="29">
        <v>279.99</v>
      </c>
      <c r="D8" s="29">
        <f>sum(1345.08,726.53)</f>
        <v>2071.61</v>
      </c>
      <c r="E8" s="29">
        <f>sum(1655.61,1542.74)</f>
        <v>3198.35</v>
      </c>
      <c r="F8" s="29">
        <f>sum(333.7,350.32)</f>
        <v>684.02</v>
      </c>
      <c r="G8" s="8"/>
      <c r="H8" s="8">
        <f>SUM(B8,'2020'!M20)</f>
        <v>6233.97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9" t="s">
        <v>23</v>
      </c>
      <c r="B9" s="8">
        <f t="shared" si="2"/>
        <v>14377.38</v>
      </c>
      <c r="C9" s="29">
        <v>288.45</v>
      </c>
      <c r="D9" s="8">
        <f>sum(567.28,1147.84,702,177.88,797.22)</f>
        <v>3392.22</v>
      </c>
      <c r="E9" s="8">
        <f>sum(1238.62,7678.6,1078.85)</f>
        <v>9996.07</v>
      </c>
      <c r="F9" s="8">
        <f>sum(350.32*2)</f>
        <v>700.64</v>
      </c>
      <c r="G9" s="8"/>
      <c r="H9" s="8">
        <f>SUM(B9,'2020'!M21)</f>
        <v>14377.38</v>
      </c>
      <c r="I9" s="8">
        <f>H9-702-7678.6</f>
        <v>5996.78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9" t="s">
        <v>24</v>
      </c>
      <c r="B10" s="8">
        <f t="shared" si="2"/>
        <v>4898.3</v>
      </c>
      <c r="C10" s="29">
        <v>267.97</v>
      </c>
      <c r="D10" s="8">
        <f>sum(877.98,729.25)</f>
        <v>1607.23</v>
      </c>
      <c r="E10" s="29">
        <f>sum(1117.37,1205.09)</f>
        <v>2322.46</v>
      </c>
      <c r="F10" s="29">
        <f>350.32*2</f>
        <v>700.64</v>
      </c>
      <c r="G10" s="8"/>
      <c r="H10" s="8">
        <f>SUM(B10,'2020'!M22)</f>
        <v>4898.3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9" t="s">
        <v>25</v>
      </c>
      <c r="B11" s="29">
        <f t="shared" si="2"/>
        <v>7877.6</v>
      </c>
      <c r="C11" s="29">
        <v>268.19</v>
      </c>
      <c r="D11" s="29">
        <f>sum(51.23,27.08,10.88,1429,5,189.56,76.16,184.78,1432.8)</f>
        <v>3406.49</v>
      </c>
      <c r="E11" s="8">
        <f>sum(1294.79,50,1202.67,363.91)</f>
        <v>2911.37</v>
      </c>
      <c r="F11" s="8">
        <f>350.32+450.79+490.44</f>
        <v>1291.55</v>
      </c>
      <c r="G11" s="8"/>
      <c r="H11" s="8">
        <f>SUM(B11,'2020'!M23)</f>
        <v>7877.6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9" t="s">
        <v>26</v>
      </c>
      <c r="B12" s="29">
        <f t="shared" si="2"/>
        <v>2847.19</v>
      </c>
      <c r="C12" s="29">
        <v>225.99</v>
      </c>
      <c r="D12" s="8">
        <f>sum(189.42,74.76)*2+434.14</f>
        <v>962.5</v>
      </c>
      <c r="E12" s="8">
        <f>sum(313.91,363.91)</f>
        <v>677.82</v>
      </c>
      <c r="F12" s="8">
        <f>sum(490.44)*2</f>
        <v>980.88</v>
      </c>
      <c r="G12" s="8"/>
      <c r="H12" s="8">
        <f>SUM(B12,'2020'!M24)</f>
        <v>2847.19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9" t="s">
        <v>27</v>
      </c>
      <c r="B13" s="29">
        <f t="shared" si="2"/>
        <v>4917.39</v>
      </c>
      <c r="C13" s="29">
        <v>208.83</v>
      </c>
      <c r="D13" s="8">
        <f>sum(765.6,189.42,74.76,762.47,189.42,74,940.19)</f>
        <v>2995.86</v>
      </c>
      <c r="E13" s="29">
        <f>365.91*2</f>
        <v>731.82</v>
      </c>
      <c r="F13" s="29">
        <f>490.44*2</f>
        <v>980.88</v>
      </c>
      <c r="G13" s="8"/>
      <c r="H13" s="8">
        <f>SUM(B13,'2020'!M25)</f>
        <v>4917.39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9" t="s">
        <v>28</v>
      </c>
      <c r="B14" s="29">
        <f t="shared" si="2"/>
        <v>5869.94</v>
      </c>
      <c r="C14" s="29">
        <v>196.39</v>
      </c>
      <c r="D14" s="8">
        <f>sum(334, 189.42,74.76,998.48,543.54,189.42,74.76,883.91,381.33,189.42,74.76)</f>
        <v>3933.8</v>
      </c>
      <c r="E14" s="8">
        <f>365.91+392.96</f>
        <v>758.87</v>
      </c>
      <c r="F14" s="8">
        <f>sum(490.44*2)</f>
        <v>980.88</v>
      </c>
      <c r="G14" s="8"/>
      <c r="H14" s="8">
        <f>SUM(B14,'2020'!M26)</f>
        <v>5869.94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0" max="10" width="9.13"/>
    <col customWidth="1" min="11" max="11" width="9.88"/>
    <col customWidth="1" min="13" max="13" width="26.88"/>
  </cols>
  <sheetData>
    <row r="1" ht="18.0" customHeight="1">
      <c r="A1" s="8"/>
      <c r="B1" s="7" t="s">
        <v>0</v>
      </c>
      <c r="C1" s="7" t="s">
        <v>35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30</v>
      </c>
      <c r="I1" s="7" t="s">
        <v>8</v>
      </c>
      <c r="J1" s="7" t="s">
        <v>31</v>
      </c>
      <c r="K1" s="7" t="s">
        <v>47</v>
      </c>
      <c r="L1" s="65" t="s">
        <v>48</v>
      </c>
      <c r="M1" s="66"/>
      <c r="N1" s="8"/>
      <c r="Q1" s="7" t="s">
        <v>49</v>
      </c>
      <c r="R1" s="7" t="s">
        <v>49</v>
      </c>
      <c r="S1" s="7" t="s">
        <v>49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8"/>
      <c r="B2" s="67">
        <f>SUM(E2:K2)</f>
        <v>-36496.54</v>
      </c>
      <c r="C2" s="67">
        <f>SUM(C16:C1011, '2019_2'!B1:B1011)</f>
        <v>55001.27</v>
      </c>
      <c r="D2" s="67">
        <f>SUM(B2,C2)</f>
        <v>18504.73</v>
      </c>
      <c r="E2" s="67">
        <f>SUM(E16:E1011)</f>
        <v>-2139.41</v>
      </c>
      <c r="F2" s="15">
        <f>SUM(F17:F1011)</f>
        <v>-10619.79</v>
      </c>
      <c r="G2" s="15">
        <f>SUM(G16:G1011)</f>
        <v>-1749.65</v>
      </c>
      <c r="H2" s="68">
        <f t="shared" ref="H2:K2" si="1">SUM(H17:H1011)</f>
        <v>-651.66</v>
      </c>
      <c r="I2" s="15">
        <f t="shared" si="1"/>
        <v>-8475.39</v>
      </c>
      <c r="J2" s="15">
        <f t="shared" si="1"/>
        <v>-850.75</v>
      </c>
      <c r="K2" s="15">
        <f t="shared" si="1"/>
        <v>-12009.89</v>
      </c>
      <c r="L2" s="15"/>
      <c r="M2" s="15"/>
      <c r="N2" s="8"/>
      <c r="Q2" s="69">
        <f t="shared" ref="Q2:S2" si="2">sum((B2)*5.6)</f>
        <v>-204380.624</v>
      </c>
      <c r="R2" s="69">
        <f t="shared" si="2"/>
        <v>308007.112</v>
      </c>
      <c r="S2" s="67">
        <f t="shared" si="2"/>
        <v>103626.488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26"/>
      <c r="B3" s="8"/>
      <c r="C3" s="70"/>
      <c r="D3" s="8"/>
      <c r="E3" s="8"/>
      <c r="F3" s="8"/>
      <c r="G3" s="8"/>
      <c r="H3" s="8"/>
      <c r="I3" s="8"/>
      <c r="J3" s="8"/>
      <c r="K3" s="8"/>
      <c r="L3" s="28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26"/>
      <c r="B4" s="8"/>
      <c r="C4" s="70"/>
      <c r="D4" s="8"/>
      <c r="E4" s="8"/>
      <c r="F4" s="8"/>
      <c r="G4" s="8"/>
      <c r="H4" s="8"/>
      <c r="I4" s="8"/>
      <c r="J4" s="8"/>
      <c r="K4" s="8"/>
      <c r="L4" s="28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26"/>
      <c r="B5" s="8"/>
      <c r="C5" s="70"/>
      <c r="D5" s="8"/>
      <c r="E5" s="8"/>
      <c r="F5" s="8"/>
      <c r="G5" s="8"/>
      <c r="H5" s="8"/>
      <c r="I5" s="8"/>
      <c r="J5" s="8"/>
      <c r="K5" s="8"/>
      <c r="L5" s="28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6"/>
      <c r="B6" s="8"/>
      <c r="C6" s="70"/>
      <c r="D6" s="8"/>
      <c r="E6" s="8"/>
      <c r="F6" s="8"/>
      <c r="G6" s="8"/>
      <c r="H6" s="8"/>
      <c r="I6" s="8"/>
      <c r="J6" s="8"/>
      <c r="K6" s="8"/>
      <c r="L6" s="28"/>
      <c r="M6" s="2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26"/>
      <c r="B7" s="8"/>
      <c r="C7" s="70"/>
      <c r="D7" s="8"/>
      <c r="E7" s="8"/>
      <c r="F7" s="8"/>
      <c r="G7" s="8"/>
      <c r="H7" s="8"/>
      <c r="I7" s="8"/>
      <c r="J7" s="8"/>
      <c r="K7" s="8"/>
      <c r="L7" s="28"/>
      <c r="M7" s="2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26"/>
      <c r="B8" s="8"/>
      <c r="C8" s="70"/>
      <c r="D8" s="8"/>
      <c r="E8" s="8"/>
      <c r="F8" s="8"/>
      <c r="G8" s="8"/>
      <c r="H8" s="8"/>
      <c r="I8" s="8"/>
      <c r="J8" s="8"/>
      <c r="K8" s="8"/>
      <c r="L8" s="28"/>
      <c r="M8" s="2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26"/>
      <c r="B9" s="8"/>
      <c r="C9" s="70"/>
      <c r="D9" s="8"/>
      <c r="E9" s="8"/>
      <c r="F9" s="8"/>
      <c r="G9" s="8"/>
      <c r="H9" s="8"/>
      <c r="I9" s="8"/>
      <c r="J9" s="8"/>
      <c r="K9" s="8"/>
      <c r="L9" s="28"/>
      <c r="M9" s="2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26"/>
      <c r="B10" s="8"/>
      <c r="C10" s="70"/>
      <c r="D10" s="8"/>
      <c r="E10" s="8"/>
      <c r="F10" s="8"/>
      <c r="G10" s="8"/>
      <c r="H10" s="8"/>
      <c r="I10" s="8"/>
      <c r="J10" s="8"/>
      <c r="K10" s="8"/>
      <c r="L10" s="28"/>
      <c r="M10" s="2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26"/>
      <c r="B11" s="8"/>
      <c r="C11" s="70"/>
      <c r="D11" s="8"/>
      <c r="E11" s="8"/>
      <c r="F11" s="8"/>
      <c r="G11" s="8"/>
      <c r="H11" s="8"/>
      <c r="I11" s="8"/>
      <c r="J11" s="8"/>
      <c r="K11" s="8"/>
      <c r="L11" s="28"/>
      <c r="M11" s="2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26"/>
      <c r="B12" s="8"/>
      <c r="C12" s="70"/>
      <c r="D12" s="8"/>
      <c r="E12" s="8"/>
      <c r="F12" s="8"/>
      <c r="G12" s="8"/>
      <c r="H12" s="8"/>
      <c r="I12" s="8"/>
      <c r="J12" s="8"/>
      <c r="K12" s="8"/>
      <c r="L12" s="28"/>
      <c r="M12" s="2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26"/>
      <c r="B13" s="8"/>
      <c r="C13" s="70"/>
      <c r="D13" s="8"/>
      <c r="E13" s="8"/>
      <c r="F13" s="8"/>
      <c r="G13" s="8"/>
      <c r="H13" s="8"/>
      <c r="I13" s="8"/>
      <c r="J13" s="8"/>
      <c r="K13" s="8"/>
      <c r="L13" s="28"/>
      <c r="M13" s="2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26"/>
      <c r="B14" s="8"/>
      <c r="C14" s="70"/>
      <c r="D14" s="8"/>
      <c r="E14" s="8"/>
      <c r="F14" s="8"/>
      <c r="G14" s="8"/>
      <c r="H14" s="8"/>
      <c r="I14" s="8"/>
      <c r="J14" s="8"/>
      <c r="K14" s="8"/>
      <c r="L14" s="28"/>
      <c r="M14" s="2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26"/>
      <c r="B15" s="8"/>
      <c r="C15" s="70"/>
      <c r="D15" s="8"/>
      <c r="E15" s="8"/>
      <c r="F15" s="8"/>
      <c r="G15" s="8"/>
      <c r="H15" s="8"/>
      <c r="I15" s="8"/>
      <c r="J15" s="8"/>
      <c r="K15" s="8"/>
      <c r="L15" s="28"/>
      <c r="M15" s="2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26">
        <v>43516.0</v>
      </c>
      <c r="B16" s="8"/>
      <c r="C16" s="70">
        <v>9865.0</v>
      </c>
      <c r="D16" s="8"/>
      <c r="E16" s="70">
        <v>-5.0</v>
      </c>
      <c r="F16" s="8">
        <f>-sum(13.5,26.2)</f>
        <v>-39.7</v>
      </c>
      <c r="G16" s="8"/>
      <c r="H16" s="8"/>
      <c r="I16" s="8"/>
      <c r="J16" s="8"/>
      <c r="K16" s="8"/>
      <c r="L16" s="28"/>
      <c r="M16" s="2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26">
        <v>43517.0</v>
      </c>
      <c r="B17" s="71"/>
      <c r="C17" s="8"/>
      <c r="D17" s="8"/>
      <c r="E17" s="70">
        <v>-10.0</v>
      </c>
      <c r="F17" s="8">
        <f>-sum(8.85,10,32.5)</f>
        <v>-51.35</v>
      </c>
      <c r="G17" s="8"/>
      <c r="H17" s="71">
        <v>-18.5</v>
      </c>
      <c r="I17" s="8"/>
      <c r="J17" s="8"/>
      <c r="K17" s="8"/>
      <c r="L17" s="28"/>
      <c r="M17" s="21"/>
      <c r="N17" s="29" t="s">
        <v>50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8"/>
      <c r="B18" s="70"/>
      <c r="C18" s="8"/>
      <c r="D18" s="8"/>
      <c r="F18" s="8"/>
      <c r="G18" s="8"/>
      <c r="H18" s="8"/>
      <c r="I18" s="8"/>
      <c r="J18" s="8"/>
      <c r="K18" s="8"/>
      <c r="L18" s="28"/>
      <c r="M18" s="21"/>
      <c r="N18" s="29" t="s">
        <v>51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8"/>
      <c r="B19" s="71"/>
      <c r="C19" s="8"/>
      <c r="D19" s="8"/>
      <c r="E19" s="8"/>
      <c r="F19" s="71"/>
      <c r="G19" s="71"/>
      <c r="H19" s="8"/>
      <c r="I19" s="8"/>
      <c r="J19" s="8"/>
      <c r="K19" s="8"/>
      <c r="L19" s="28"/>
      <c r="M19" s="21"/>
      <c r="N19" s="29" t="s">
        <v>52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26">
        <v>43518.0</v>
      </c>
      <c r="B20" s="70"/>
      <c r="C20" s="8"/>
      <c r="D20" s="8"/>
      <c r="E20" s="8"/>
      <c r="F20" s="70"/>
      <c r="G20" s="70"/>
      <c r="H20" s="8"/>
      <c r="I20" s="8"/>
      <c r="J20" s="8"/>
      <c r="K20" s="8"/>
      <c r="L20" s="28"/>
      <c r="M20" s="21"/>
      <c r="N20" s="29" t="s">
        <v>53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26">
        <v>43519.0</v>
      </c>
      <c r="B21" s="71"/>
      <c r="C21" s="8"/>
      <c r="D21" s="8"/>
      <c r="E21" s="8"/>
      <c r="F21" s="71"/>
      <c r="G21" s="71"/>
      <c r="H21" s="8"/>
      <c r="I21" s="8"/>
      <c r="J21" s="8"/>
      <c r="K21" s="8"/>
      <c r="L21" s="28"/>
      <c r="M21" s="21"/>
      <c r="N21" s="29" t="s">
        <v>54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8"/>
      <c r="B22" s="70"/>
      <c r="C22" s="8"/>
      <c r="D22" s="8"/>
      <c r="E22" s="70">
        <v>-6.0</v>
      </c>
      <c r="F22" s="8"/>
      <c r="G22" s="8"/>
      <c r="H22" s="8"/>
      <c r="I22" s="8"/>
      <c r="J22" s="8"/>
      <c r="K22" s="8"/>
      <c r="L22" s="28"/>
      <c r="M22" s="21"/>
      <c r="N22" s="29" t="s">
        <v>55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8"/>
      <c r="B23" s="70"/>
      <c r="C23" s="8"/>
      <c r="D23" s="8"/>
      <c r="E23" s="8"/>
      <c r="F23" s="70">
        <v>-4.0</v>
      </c>
      <c r="G23" s="70"/>
      <c r="H23" s="8"/>
      <c r="I23" s="8"/>
      <c r="J23" s="8"/>
      <c r="K23" s="8"/>
      <c r="L23" s="28"/>
      <c r="M23" s="21"/>
      <c r="N23" s="29" t="s">
        <v>53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8"/>
      <c r="B24" s="71"/>
      <c r="C24" s="8"/>
      <c r="D24" s="8"/>
      <c r="E24" s="8"/>
      <c r="F24" s="71">
        <v>-17.6</v>
      </c>
      <c r="G24" s="71"/>
      <c r="H24" s="8"/>
      <c r="I24" s="8"/>
      <c r="J24" s="8"/>
      <c r="K24" s="8"/>
      <c r="L24" s="30"/>
      <c r="M24" s="30"/>
      <c r="N24" s="29" t="s">
        <v>56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26">
        <v>43520.0</v>
      </c>
      <c r="B25" s="70"/>
      <c r="C25" s="8"/>
      <c r="D25" s="8"/>
      <c r="E25" s="8"/>
      <c r="F25" s="70">
        <v>-7.0</v>
      </c>
      <c r="G25" s="70"/>
      <c r="H25" s="8"/>
      <c r="I25" s="8"/>
      <c r="J25" s="8"/>
      <c r="K25" s="8"/>
      <c r="L25" s="30"/>
      <c r="M25" s="30"/>
      <c r="N25" s="29" t="s">
        <v>57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8"/>
      <c r="B26" s="71"/>
      <c r="C26" s="8"/>
      <c r="D26" s="8"/>
      <c r="E26" s="8"/>
      <c r="F26" s="71">
        <v>-9.75</v>
      </c>
      <c r="G26" s="71"/>
      <c r="H26" s="8"/>
      <c r="I26" s="8"/>
      <c r="J26" s="8"/>
      <c r="K26" s="8"/>
      <c r="L26" s="30"/>
      <c r="M26" s="30"/>
      <c r="N26" s="29" t="s">
        <v>53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26">
        <v>43521.0</v>
      </c>
      <c r="B27" s="71"/>
      <c r="C27" s="8"/>
      <c r="D27" s="8"/>
      <c r="E27" s="8"/>
      <c r="F27" s="71">
        <v>-27.3</v>
      </c>
      <c r="G27" s="71"/>
      <c r="H27" s="8"/>
      <c r="I27" s="8"/>
      <c r="J27" s="8"/>
      <c r="K27" s="8"/>
      <c r="L27" s="30"/>
      <c r="M27" s="30"/>
      <c r="N27" s="29" t="s">
        <v>53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26">
        <v>43524.0</v>
      </c>
      <c r="B28" s="70"/>
      <c r="C28" s="8"/>
      <c r="D28" s="8"/>
      <c r="E28" s="8"/>
      <c r="F28" s="8"/>
      <c r="G28" s="8"/>
      <c r="H28" s="8"/>
      <c r="I28" s="8"/>
      <c r="J28" s="70"/>
      <c r="K28" s="70">
        <v>-9300.0</v>
      </c>
      <c r="L28" s="30"/>
      <c r="M28" s="30"/>
      <c r="N28" s="29" t="s">
        <v>58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72">
        <v>43525.0</v>
      </c>
      <c r="B29" s="8"/>
      <c r="C29" s="70">
        <v>11800.0</v>
      </c>
      <c r="D29" s="15"/>
      <c r="E29" s="8"/>
      <c r="F29" s="8"/>
      <c r="G29" s="8"/>
      <c r="H29" s="8"/>
      <c r="I29" s="8"/>
      <c r="J29" s="8"/>
      <c r="K29" s="8"/>
      <c r="L29" s="30"/>
      <c r="M29" s="30"/>
      <c r="N29" s="29" t="s">
        <v>59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8"/>
      <c r="B30" s="70"/>
      <c r="C30" s="8"/>
      <c r="D30" s="8"/>
      <c r="E30" s="70">
        <v>-30.8</v>
      </c>
      <c r="F30" s="8"/>
      <c r="G30" s="8"/>
      <c r="H30" s="8"/>
      <c r="I30" s="8"/>
      <c r="J30" s="8"/>
      <c r="K30" s="8"/>
      <c r="L30" s="30"/>
      <c r="M30" s="30"/>
      <c r="N30" s="29" t="s">
        <v>51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8"/>
      <c r="B31" s="71"/>
      <c r="C31" s="8"/>
      <c r="D31" s="8"/>
      <c r="E31" s="8"/>
      <c r="F31" s="71">
        <v>-5.3</v>
      </c>
      <c r="G31" s="71"/>
      <c r="H31" s="8"/>
      <c r="I31" s="8"/>
      <c r="J31" s="8"/>
      <c r="K31" s="8"/>
      <c r="L31" s="30"/>
      <c r="M31" s="30"/>
      <c r="N31" s="29" t="s">
        <v>53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8"/>
      <c r="B32" s="71"/>
      <c r="C32" s="8"/>
      <c r="D32" s="8"/>
      <c r="E32" s="8"/>
      <c r="F32" s="71">
        <v>-7.35</v>
      </c>
      <c r="G32" s="71"/>
      <c r="H32" s="8"/>
      <c r="I32" s="8"/>
      <c r="J32" s="8"/>
      <c r="K32" s="8"/>
      <c r="L32" s="30"/>
      <c r="M32" s="30"/>
      <c r="N32" s="29" t="s">
        <v>53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72">
        <v>43527.0</v>
      </c>
      <c r="B33" s="71"/>
      <c r="C33" s="8"/>
      <c r="D33" s="8"/>
      <c r="E33" s="8"/>
      <c r="F33" s="71">
        <v>-5.6</v>
      </c>
      <c r="G33" s="71"/>
      <c r="H33" s="8"/>
      <c r="I33" s="8"/>
      <c r="J33" s="8"/>
      <c r="K33" s="8"/>
      <c r="L33" s="30"/>
      <c r="M33" s="30"/>
      <c r="N33" s="29" t="s">
        <v>60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8"/>
      <c r="B34" s="71"/>
      <c r="C34" s="8"/>
      <c r="D34" s="8"/>
      <c r="E34" s="71">
        <v>-55.95</v>
      </c>
      <c r="F34" s="8"/>
      <c r="G34" s="8"/>
      <c r="H34" s="8"/>
      <c r="I34" s="8"/>
      <c r="J34" s="8"/>
      <c r="K34" s="8"/>
      <c r="L34" s="30"/>
      <c r="M34" s="30"/>
      <c r="N34" s="29" t="s">
        <v>61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8"/>
      <c r="B35" s="71"/>
      <c r="C35" s="8"/>
      <c r="D35" s="8"/>
      <c r="E35" s="8"/>
      <c r="F35" s="71">
        <v>-10.56</v>
      </c>
      <c r="G35" s="71"/>
      <c r="H35" s="8"/>
      <c r="I35" s="8"/>
      <c r="J35" s="8"/>
      <c r="K35" s="8"/>
      <c r="L35" s="30"/>
      <c r="M35" s="30"/>
      <c r="N35" s="29" t="s">
        <v>53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72">
        <v>43528.0</v>
      </c>
      <c r="B36" s="70"/>
      <c r="C36" s="8"/>
      <c r="D36" s="8"/>
      <c r="E36" s="8"/>
      <c r="F36" s="70">
        <v>-9.0</v>
      </c>
      <c r="G36" s="70"/>
      <c r="H36" s="8"/>
      <c r="I36" s="8"/>
      <c r="J36" s="8"/>
      <c r="K36" s="8"/>
      <c r="L36" s="30"/>
      <c r="M36" s="30"/>
      <c r="N36" s="29" t="s">
        <v>60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8"/>
      <c r="B37" s="71"/>
      <c r="C37" s="8"/>
      <c r="D37" s="8"/>
      <c r="E37" s="8"/>
      <c r="F37" s="71">
        <v>-8.95</v>
      </c>
      <c r="G37" s="71"/>
      <c r="H37" s="8"/>
      <c r="I37" s="8"/>
      <c r="J37" s="8"/>
      <c r="K37" s="8"/>
      <c r="L37" s="30"/>
      <c r="M37" s="30"/>
      <c r="N37" s="29" t="s">
        <v>53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72">
        <v>43529.0</v>
      </c>
      <c r="B38" s="71"/>
      <c r="C38" s="8"/>
      <c r="D38" s="8"/>
      <c r="E38" s="8"/>
      <c r="F38" s="71">
        <v>-12.3</v>
      </c>
      <c r="G38" s="71"/>
      <c r="H38" s="8"/>
      <c r="I38" s="8"/>
      <c r="J38" s="8"/>
      <c r="K38" s="8"/>
      <c r="L38" s="30"/>
      <c r="M38" s="30"/>
      <c r="N38" s="29" t="s">
        <v>54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8"/>
      <c r="B39" s="71"/>
      <c r="C39" s="8"/>
      <c r="D39" s="8"/>
      <c r="E39" s="8"/>
      <c r="F39" s="8"/>
      <c r="G39" s="8"/>
      <c r="H39" s="8"/>
      <c r="I39" s="71">
        <v>-3620.76</v>
      </c>
      <c r="J39" s="8"/>
      <c r="K39" s="8"/>
      <c r="L39" s="30"/>
      <c r="M39" s="30"/>
      <c r="N39" s="29" t="s">
        <v>62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72">
        <v>43530.0</v>
      </c>
      <c r="B40" s="71"/>
      <c r="C40" s="8"/>
      <c r="D40" s="8"/>
      <c r="E40" s="8"/>
      <c r="F40" s="71">
        <v>-41.8</v>
      </c>
      <c r="G40" s="71"/>
      <c r="H40" s="8"/>
      <c r="I40" s="8"/>
      <c r="J40" s="8"/>
      <c r="K40" s="8"/>
      <c r="L40" s="30"/>
      <c r="M40" s="30"/>
      <c r="N40" s="29" t="s">
        <v>53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72">
        <v>43531.0</v>
      </c>
      <c r="B41" s="70"/>
      <c r="C41" s="8"/>
      <c r="D41" s="8"/>
      <c r="E41" s="70">
        <v>-20.0</v>
      </c>
      <c r="F41" s="8"/>
      <c r="G41" s="8"/>
      <c r="H41" s="8"/>
      <c r="I41" s="8"/>
      <c r="J41" s="8"/>
      <c r="K41" s="8"/>
      <c r="L41" s="30"/>
      <c r="M41" s="30"/>
      <c r="N41" s="29" t="s">
        <v>51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8"/>
      <c r="B42" s="71"/>
      <c r="C42" s="8"/>
      <c r="D42" s="8"/>
      <c r="E42" s="8"/>
      <c r="F42" s="8"/>
      <c r="G42" s="8"/>
      <c r="H42" s="8"/>
      <c r="I42" s="71">
        <v>-26.95</v>
      </c>
      <c r="J42" s="8"/>
      <c r="K42" s="8"/>
      <c r="L42" s="30"/>
      <c r="M42" s="30"/>
      <c r="N42" s="29" t="s">
        <v>63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8"/>
      <c r="B43" s="71"/>
      <c r="C43" s="8"/>
      <c r="D43" s="8"/>
      <c r="E43" s="8"/>
      <c r="F43" s="71">
        <v>-9.8</v>
      </c>
      <c r="G43" s="71"/>
      <c r="H43" s="8"/>
      <c r="I43" s="8"/>
      <c r="J43" s="8"/>
      <c r="K43" s="8"/>
      <c r="L43" s="30"/>
      <c r="M43" s="3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8"/>
      <c r="B44" s="71"/>
      <c r="C44" s="8"/>
      <c r="D44" s="8"/>
      <c r="E44" s="8"/>
      <c r="F44" s="71">
        <v>-11.15</v>
      </c>
      <c r="G44" s="71"/>
      <c r="H44" s="8"/>
      <c r="I44" s="8"/>
      <c r="J44" s="8"/>
      <c r="K44" s="8"/>
      <c r="L44" s="30"/>
      <c r="M44" s="30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72">
        <v>43537.0</v>
      </c>
      <c r="B45" s="71"/>
      <c r="C45" s="8"/>
      <c r="D45" s="8"/>
      <c r="E45" s="8"/>
      <c r="F45" s="8"/>
      <c r="G45" s="8"/>
      <c r="H45" s="71">
        <v>-278.16</v>
      </c>
      <c r="I45" s="8"/>
      <c r="J45" s="8"/>
      <c r="K45" s="8"/>
      <c r="L45" s="30"/>
      <c r="M45" s="30"/>
      <c r="N45" s="29" t="s">
        <v>64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72">
        <v>43539.0</v>
      </c>
      <c r="B46" s="71"/>
      <c r="C46" s="8"/>
      <c r="D46" s="8"/>
      <c r="E46" s="8"/>
      <c r="F46" s="71">
        <v>-9.9</v>
      </c>
      <c r="G46" s="71"/>
      <c r="H46" s="8"/>
      <c r="I46" s="8"/>
      <c r="J46" s="8"/>
      <c r="K46" s="8"/>
      <c r="L46" s="30"/>
      <c r="M46" s="30"/>
      <c r="N46" s="29" t="s">
        <v>60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8"/>
      <c r="B47" s="70"/>
      <c r="C47" s="8"/>
      <c r="D47" s="8"/>
      <c r="E47" s="70">
        <v>-41.0</v>
      </c>
      <c r="F47" s="8"/>
      <c r="G47" s="8"/>
      <c r="H47" s="8"/>
      <c r="I47" s="8"/>
      <c r="J47" s="8"/>
      <c r="K47" s="8"/>
      <c r="L47" s="30"/>
      <c r="M47" s="30"/>
      <c r="N47" s="29" t="s">
        <v>61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8"/>
      <c r="B48" s="70"/>
      <c r="C48" s="8"/>
      <c r="D48" s="8"/>
      <c r="E48" s="8"/>
      <c r="F48" s="70">
        <v>-61.0</v>
      </c>
      <c r="G48" s="70"/>
      <c r="H48" s="8"/>
      <c r="I48" s="8"/>
      <c r="J48" s="8"/>
      <c r="K48" s="8"/>
      <c r="L48" s="30"/>
      <c r="M48" s="30"/>
      <c r="N48" s="29" t="s">
        <v>60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8"/>
      <c r="B49" s="70"/>
      <c r="C49" s="8"/>
      <c r="D49" s="8"/>
      <c r="E49" s="70">
        <v>-12.0</v>
      </c>
      <c r="F49" s="8"/>
      <c r="G49" s="8"/>
      <c r="H49" s="8"/>
      <c r="I49" s="8"/>
      <c r="J49" s="8"/>
      <c r="K49" s="8"/>
      <c r="L49" s="30"/>
      <c r="M49" s="30"/>
      <c r="N49" s="32" t="s">
        <v>55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8"/>
      <c r="B50" s="70"/>
      <c r="C50" s="8"/>
      <c r="D50" s="8"/>
      <c r="E50" s="70">
        <v>-13.0</v>
      </c>
      <c r="F50" s="8"/>
      <c r="G50" s="8"/>
      <c r="H50" s="8"/>
      <c r="I50" s="8"/>
      <c r="J50" s="8"/>
      <c r="K50" s="8"/>
      <c r="L50" s="30"/>
      <c r="M50" s="3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8"/>
      <c r="B51" s="70"/>
      <c r="C51" s="8"/>
      <c r="D51" s="8"/>
      <c r="E51" s="70">
        <v>-12.0</v>
      </c>
      <c r="F51" s="8"/>
      <c r="G51" s="8"/>
      <c r="H51" s="8"/>
      <c r="I51" s="8"/>
      <c r="J51" s="8"/>
      <c r="K51" s="8"/>
      <c r="L51" s="30"/>
      <c r="M51" s="3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8"/>
      <c r="B52" s="71"/>
      <c r="C52" s="8"/>
      <c r="D52" s="8"/>
      <c r="E52" s="8"/>
      <c r="F52" s="71">
        <v>-19.1</v>
      </c>
      <c r="G52" s="71"/>
      <c r="H52" s="8"/>
      <c r="I52" s="8"/>
      <c r="J52" s="8"/>
      <c r="K52" s="8"/>
      <c r="L52" s="30"/>
      <c r="M52" s="30"/>
      <c r="N52" s="29" t="s">
        <v>65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8"/>
      <c r="B53" s="8"/>
      <c r="C53" s="70">
        <v>234.0</v>
      </c>
      <c r="D53" s="8"/>
      <c r="E53" s="8"/>
      <c r="F53" s="8"/>
      <c r="G53" s="8"/>
      <c r="H53" s="8"/>
      <c r="I53" s="8"/>
      <c r="J53" s="8"/>
      <c r="K53" s="8"/>
      <c r="L53" s="30"/>
      <c r="M53" s="30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8"/>
      <c r="B54" s="71"/>
      <c r="C54" s="8"/>
      <c r="D54" s="8"/>
      <c r="E54" s="71">
        <v>-3.76</v>
      </c>
      <c r="F54" s="8"/>
      <c r="G54" s="8"/>
      <c r="H54" s="8"/>
      <c r="I54" s="8"/>
      <c r="J54" s="8"/>
      <c r="K54" s="8"/>
      <c r="L54" s="30"/>
      <c r="M54" s="30"/>
      <c r="N54" s="32" t="s">
        <v>66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8"/>
      <c r="B55" s="71"/>
      <c r="C55" s="8"/>
      <c r="D55" s="8"/>
      <c r="E55" s="71">
        <v>-4.4</v>
      </c>
      <c r="F55" s="8"/>
      <c r="G55" s="8"/>
      <c r="H55" s="8"/>
      <c r="I55" s="8"/>
      <c r="J55" s="8"/>
      <c r="K55" s="8"/>
      <c r="L55" s="30"/>
      <c r="M55" s="3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8"/>
      <c r="B56" s="71"/>
      <c r="C56" s="8"/>
      <c r="D56" s="8"/>
      <c r="E56" s="71">
        <v>-2.3</v>
      </c>
      <c r="F56" s="8"/>
      <c r="G56" s="8"/>
      <c r="H56" s="8"/>
      <c r="I56" s="8"/>
      <c r="J56" s="8"/>
      <c r="K56" s="8"/>
      <c r="L56" s="30"/>
      <c r="M56" s="3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72">
        <v>43543.0</v>
      </c>
      <c r="B57" s="71"/>
      <c r="C57" s="8"/>
      <c r="D57" s="8"/>
      <c r="E57" s="8"/>
      <c r="F57" s="71">
        <v>-12.5</v>
      </c>
      <c r="G57" s="71"/>
      <c r="H57" s="8"/>
      <c r="I57" s="8"/>
      <c r="J57" s="8"/>
      <c r="K57" s="8"/>
      <c r="L57" s="30"/>
      <c r="M57" s="30"/>
      <c r="N57" s="29" t="s">
        <v>60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8"/>
      <c r="B58" s="29"/>
      <c r="C58" s="8"/>
      <c r="D58" s="8"/>
      <c r="E58" s="8"/>
      <c r="F58" s="8"/>
      <c r="G58" s="8"/>
      <c r="H58" s="29">
        <v>-123.4</v>
      </c>
      <c r="I58" s="8"/>
      <c r="J58" s="8"/>
      <c r="K58" s="8"/>
      <c r="L58" s="30"/>
      <c r="M58" s="30"/>
      <c r="N58" s="29" t="s">
        <v>67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72">
        <v>43545.0</v>
      </c>
      <c r="B59" s="70"/>
      <c r="C59" s="8"/>
      <c r="D59" s="8"/>
      <c r="E59" s="8"/>
      <c r="F59" s="70">
        <v>-31.0</v>
      </c>
      <c r="G59" s="70"/>
      <c r="H59" s="8"/>
      <c r="I59" s="8"/>
      <c r="J59" s="8"/>
      <c r="K59" s="8"/>
      <c r="L59" s="30"/>
      <c r="M59" s="30"/>
      <c r="N59" s="29" t="s">
        <v>65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8"/>
      <c r="B60" s="70"/>
      <c r="C60" s="8"/>
      <c r="D60" s="8"/>
      <c r="E60" s="70">
        <v>-51.0</v>
      </c>
      <c r="F60" s="8"/>
      <c r="G60" s="8"/>
      <c r="H60" s="8"/>
      <c r="I60" s="8"/>
      <c r="J60" s="8"/>
      <c r="K60" s="8"/>
      <c r="L60" s="30"/>
      <c r="M60" s="30"/>
      <c r="N60" s="29" t="s">
        <v>61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8"/>
      <c r="B61" s="70"/>
      <c r="C61" s="8"/>
      <c r="D61" s="8"/>
      <c r="E61" s="8"/>
      <c r="F61" s="70">
        <v>-11.0</v>
      </c>
      <c r="G61" s="70"/>
      <c r="H61" s="8"/>
      <c r="I61" s="8"/>
      <c r="J61" s="8"/>
      <c r="K61" s="8"/>
      <c r="L61" s="30"/>
      <c r="M61" s="30"/>
      <c r="N61" s="29" t="s">
        <v>60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8"/>
      <c r="B62" s="71"/>
      <c r="C62" s="8"/>
      <c r="D62" s="8"/>
      <c r="E62" s="8"/>
      <c r="F62" s="71">
        <v>-9.9</v>
      </c>
      <c r="G62" s="71"/>
      <c r="H62" s="8"/>
      <c r="I62" s="8"/>
      <c r="J62" s="8"/>
      <c r="K62" s="8"/>
      <c r="L62" s="30"/>
      <c r="M62" s="30"/>
      <c r="N62" s="29" t="s">
        <v>60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8"/>
      <c r="B63" s="71"/>
      <c r="C63" s="8"/>
      <c r="D63" s="8"/>
      <c r="E63" s="8"/>
      <c r="F63" s="71">
        <v>-2.7</v>
      </c>
      <c r="G63" s="71"/>
      <c r="H63" s="8"/>
      <c r="I63" s="8"/>
      <c r="J63" s="8"/>
      <c r="K63" s="8"/>
      <c r="L63" s="30"/>
      <c r="M63" s="30"/>
      <c r="N63" s="29" t="s">
        <v>68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8"/>
      <c r="B64" s="70"/>
      <c r="C64" s="8"/>
      <c r="D64" s="8"/>
      <c r="E64" s="8"/>
      <c r="F64" s="70">
        <v>-30.0</v>
      </c>
      <c r="G64" s="70"/>
      <c r="H64" s="8"/>
      <c r="I64" s="8"/>
      <c r="J64" s="8"/>
      <c r="K64" s="8"/>
      <c r="L64" s="30"/>
      <c r="M64" s="30"/>
      <c r="N64" s="29" t="s">
        <v>69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8"/>
      <c r="B65" s="70"/>
      <c r="C65" s="8"/>
      <c r="D65" s="8"/>
      <c r="E65" s="8"/>
      <c r="F65" s="70">
        <v>-22.0</v>
      </c>
      <c r="G65" s="70"/>
      <c r="H65" s="8"/>
      <c r="I65" s="8"/>
      <c r="J65" s="8"/>
      <c r="K65" s="8"/>
      <c r="L65" s="30"/>
      <c r="M65" s="30"/>
      <c r="N65" s="29" t="s">
        <v>65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8"/>
      <c r="B66" s="70"/>
      <c r="C66" s="8"/>
      <c r="D66" s="8"/>
      <c r="E66" s="70">
        <v>-5.0</v>
      </c>
      <c r="F66" s="8"/>
      <c r="G66" s="8"/>
      <c r="H66" s="8"/>
      <c r="I66" s="8"/>
      <c r="J66" s="8"/>
      <c r="K66" s="8"/>
      <c r="L66" s="30"/>
      <c r="M66" s="30"/>
      <c r="N66" s="29" t="s">
        <v>55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72">
        <v>43550.0</v>
      </c>
      <c r="B67" s="71"/>
      <c r="C67" s="8"/>
      <c r="D67" s="8"/>
      <c r="E67" s="8"/>
      <c r="F67" s="71">
        <v>-9.5</v>
      </c>
      <c r="G67" s="71"/>
      <c r="H67" s="8"/>
      <c r="I67" s="8"/>
      <c r="J67" s="8"/>
      <c r="K67" s="8"/>
      <c r="L67" s="30"/>
      <c r="M67" s="30"/>
      <c r="N67" s="29" t="s">
        <v>60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8"/>
      <c r="B68" s="71"/>
      <c r="C68" s="8"/>
      <c r="D68" s="8"/>
      <c r="E68" s="8"/>
      <c r="F68" s="71">
        <v>-9.5</v>
      </c>
      <c r="G68" s="71"/>
      <c r="H68" s="8"/>
      <c r="I68" s="8"/>
      <c r="J68" s="8"/>
      <c r="K68" s="8"/>
      <c r="L68" s="30"/>
      <c r="M68" s="30"/>
      <c r="N68" s="29" t="s">
        <v>70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8"/>
      <c r="B69" s="71"/>
      <c r="C69" s="8"/>
      <c r="D69" s="8"/>
      <c r="E69" s="8"/>
      <c r="F69" s="71">
        <v>-17.75</v>
      </c>
      <c r="G69" s="71"/>
      <c r="H69" s="8"/>
      <c r="I69" s="8"/>
      <c r="J69" s="8"/>
      <c r="K69" s="8"/>
      <c r="L69" s="30"/>
      <c r="M69" s="30"/>
      <c r="N69" s="29" t="s">
        <v>65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8"/>
      <c r="B70" s="29"/>
      <c r="C70" s="8"/>
      <c r="D70" s="8"/>
      <c r="E70" s="29" t="s">
        <v>71</v>
      </c>
      <c r="F70" s="8"/>
      <c r="G70" s="8"/>
      <c r="H70" s="8"/>
      <c r="I70" s="8"/>
      <c r="J70" s="8"/>
      <c r="K70" s="8"/>
      <c r="L70" s="30"/>
      <c r="M70" s="30"/>
      <c r="N70" s="29" t="s">
        <v>72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72">
        <v>43551.0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30"/>
      <c r="M71" s="30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72">
        <v>43552.0</v>
      </c>
      <c r="B72" s="8"/>
      <c r="C72" s="8"/>
      <c r="D72" s="8"/>
      <c r="E72" s="8"/>
      <c r="F72" s="70">
        <v>-39.8</v>
      </c>
      <c r="G72" s="70"/>
      <c r="H72" s="8"/>
      <c r="I72" s="8"/>
      <c r="J72" s="8"/>
      <c r="K72" s="8"/>
      <c r="L72" s="30"/>
      <c r="M72" s="30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72">
        <v>43553.0</v>
      </c>
      <c r="B73" s="8"/>
      <c r="C73" s="8"/>
      <c r="D73" s="8"/>
      <c r="E73" s="8"/>
      <c r="F73" s="71">
        <v>-43.0</v>
      </c>
      <c r="G73" s="71"/>
      <c r="H73" s="8"/>
      <c r="I73" s="8"/>
      <c r="J73" s="8"/>
      <c r="K73" s="8"/>
      <c r="L73" s="30"/>
      <c r="M73" s="30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72">
        <v>43554.0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30"/>
      <c r="M74" s="30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72">
        <v>43555.0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30"/>
      <c r="M75" s="30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72">
        <v>43556.0</v>
      </c>
      <c r="B76" s="8"/>
      <c r="C76" s="8"/>
      <c r="D76" s="8"/>
      <c r="E76" s="8"/>
      <c r="F76" s="71">
        <f>sum(-9.5,-17.2)</f>
        <v>-26.7</v>
      </c>
      <c r="G76" s="71"/>
      <c r="H76" s="8"/>
      <c r="I76" s="8"/>
      <c r="J76" s="70"/>
      <c r="K76" s="70">
        <v>-129.0</v>
      </c>
      <c r="L76" s="30"/>
      <c r="M76" s="30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72">
        <v>43557.0</v>
      </c>
      <c r="B77" s="8"/>
      <c r="C77" s="8"/>
      <c r="D77" s="8"/>
      <c r="E77" s="8"/>
      <c r="F77" s="70">
        <v>-9.0</v>
      </c>
      <c r="G77" s="70"/>
      <c r="H77" s="8"/>
      <c r="I77" s="8"/>
      <c r="J77" s="8"/>
      <c r="K77" s="8"/>
      <c r="L77" s="30"/>
      <c r="M77" s="30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72">
        <v>43558.0</v>
      </c>
      <c r="B78" s="8"/>
      <c r="C78" s="8"/>
      <c r="D78" s="8"/>
      <c r="E78" s="8"/>
      <c r="F78" s="70">
        <v>-21.0</v>
      </c>
      <c r="G78" s="70"/>
      <c r="H78" s="8"/>
      <c r="I78" s="8"/>
      <c r="J78" s="8"/>
      <c r="K78" s="8"/>
      <c r="L78" s="30"/>
      <c r="M78" s="30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72">
        <v>43559.0</v>
      </c>
      <c r="B79" s="8"/>
      <c r="C79" s="8"/>
      <c r="D79" s="8"/>
      <c r="E79" s="8"/>
      <c r="F79" s="70">
        <v>-10.0</v>
      </c>
      <c r="G79" s="70"/>
      <c r="H79" s="8"/>
      <c r="I79" s="8"/>
      <c r="J79" s="8"/>
      <c r="K79" s="8"/>
      <c r="L79" s="30"/>
      <c r="M79" s="30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72">
        <v>43560.0</v>
      </c>
      <c r="B80" s="8"/>
      <c r="C80" s="8"/>
      <c r="D80" s="8"/>
      <c r="E80" s="8"/>
      <c r="F80" s="71">
        <v>-30.5</v>
      </c>
      <c r="G80" s="71"/>
      <c r="H80" s="8"/>
      <c r="I80" s="8"/>
      <c r="J80" s="8"/>
      <c r="K80" s="8"/>
      <c r="L80" s="30"/>
      <c r="M80" s="3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72">
        <v>43561.0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30"/>
      <c r="M81" s="30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72">
        <v>43562.0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30"/>
      <c r="M82" s="30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72">
        <v>43563.0</v>
      </c>
      <c r="B83" s="8"/>
      <c r="C83" s="8"/>
      <c r="D83" s="8"/>
      <c r="E83" s="70">
        <v>-10.0</v>
      </c>
      <c r="F83" s="71">
        <v>-30.7</v>
      </c>
      <c r="G83" s="71"/>
      <c r="H83" s="8"/>
      <c r="I83" s="8"/>
      <c r="J83" s="8"/>
      <c r="K83" s="8"/>
      <c r="L83" s="30"/>
      <c r="M83" s="30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72">
        <v>43564.0</v>
      </c>
      <c r="B84" s="8"/>
      <c r="C84" s="8"/>
      <c r="D84" s="8"/>
      <c r="E84" s="71">
        <v>-66.9</v>
      </c>
      <c r="F84" s="71">
        <v>-11.5</v>
      </c>
      <c r="G84" s="71"/>
      <c r="H84" s="8"/>
      <c r="I84" s="8"/>
      <c r="J84" s="8"/>
      <c r="K84" s="8"/>
      <c r="L84" s="30"/>
      <c r="M84" s="30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72">
        <v>43565.0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30"/>
      <c r="M85" s="30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72">
        <v>43566.0</v>
      </c>
      <c r="B86" s="8"/>
      <c r="C86" s="8"/>
      <c r="D86" s="8"/>
      <c r="E86" s="71">
        <v>-2.3</v>
      </c>
      <c r="F86" s="71">
        <v>-56.63</v>
      </c>
      <c r="G86" s="71"/>
      <c r="H86" s="8"/>
      <c r="I86" s="8"/>
      <c r="J86" s="8"/>
      <c r="K86" s="8"/>
      <c r="L86" s="30"/>
      <c r="M86" s="30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72">
        <v>43567.0</v>
      </c>
      <c r="B87" s="8"/>
      <c r="C87" s="8"/>
      <c r="D87" s="8"/>
      <c r="E87" s="8"/>
      <c r="F87" s="71">
        <v>-77.17</v>
      </c>
      <c r="G87" s="71"/>
      <c r="H87" s="8"/>
      <c r="I87" s="8"/>
      <c r="J87" s="8"/>
      <c r="K87" s="8"/>
      <c r="L87" s="30"/>
      <c r="M87" s="30"/>
      <c r="N87" s="29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72">
        <v>43568.0</v>
      </c>
      <c r="B88" s="8"/>
      <c r="C88" s="8"/>
      <c r="D88" s="8"/>
      <c r="E88" s="71">
        <v>-3.5</v>
      </c>
      <c r="F88" s="71">
        <v>-9.9</v>
      </c>
      <c r="G88" s="71"/>
      <c r="H88" s="8"/>
      <c r="I88" s="8"/>
      <c r="J88" s="70"/>
      <c r="K88" s="70">
        <v>-20.0</v>
      </c>
      <c r="L88" s="30"/>
      <c r="M88" s="30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72">
        <v>43569.0</v>
      </c>
      <c r="B89" s="8"/>
      <c r="C89" s="8"/>
      <c r="D89" s="8"/>
      <c r="E89" s="8"/>
      <c r="F89" s="71">
        <v>-4.25</v>
      </c>
      <c r="G89" s="71"/>
      <c r="H89" s="8"/>
      <c r="I89" s="8"/>
      <c r="J89" s="70"/>
      <c r="K89" s="70">
        <v>-33.0</v>
      </c>
      <c r="L89" s="30"/>
      <c r="M89" s="30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72">
        <v>43570.0</v>
      </c>
      <c r="B90" s="8"/>
      <c r="C90" s="8"/>
      <c r="D90" s="8"/>
      <c r="E90" s="8"/>
      <c r="F90" s="70">
        <v>-43.0</v>
      </c>
      <c r="G90" s="70"/>
      <c r="H90" s="8"/>
      <c r="I90" s="8"/>
      <c r="J90" s="8"/>
      <c r="K90" s="8"/>
      <c r="L90" s="30"/>
      <c r="M90" s="30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72">
        <v>43571.0</v>
      </c>
      <c r="B91" s="8"/>
      <c r="C91" s="8"/>
      <c r="D91" s="8"/>
      <c r="E91" s="71">
        <v>-4.5</v>
      </c>
      <c r="F91" s="71">
        <v>-25.0</v>
      </c>
      <c r="G91" s="71"/>
      <c r="H91" s="8"/>
      <c r="I91" s="8"/>
      <c r="J91" s="71"/>
      <c r="K91" s="71">
        <v>-19.84</v>
      </c>
      <c r="L91" s="30"/>
      <c r="M91" s="30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72">
        <v>43572.0</v>
      </c>
      <c r="B92" s="8"/>
      <c r="C92" s="8"/>
      <c r="D92" s="8"/>
      <c r="E92" s="8"/>
      <c r="F92" s="71">
        <v>-23.4</v>
      </c>
      <c r="G92" s="71"/>
      <c r="H92" s="8"/>
      <c r="I92" s="8"/>
      <c r="J92" s="8"/>
      <c r="K92" s="8"/>
      <c r="L92" s="30"/>
      <c r="M92" s="30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72">
        <v>43573.0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30"/>
      <c r="M93" s="30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72">
        <v>43574.0</v>
      </c>
      <c r="B94" s="8"/>
      <c r="C94" s="8"/>
      <c r="D94" s="8"/>
      <c r="E94" s="8"/>
      <c r="F94" s="70">
        <v>-10.0</v>
      </c>
      <c r="G94" s="70"/>
      <c r="H94" s="8"/>
      <c r="I94" s="8"/>
      <c r="J94" s="8"/>
      <c r="K94" s="8"/>
      <c r="L94" s="30"/>
      <c r="M94" s="30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72">
        <v>43575.0</v>
      </c>
      <c r="B95" s="8"/>
      <c r="C95" s="8"/>
      <c r="D95" s="8"/>
      <c r="E95" s="8"/>
      <c r="F95" s="71">
        <v>-15.32</v>
      </c>
      <c r="G95" s="71"/>
      <c r="H95" s="8"/>
      <c r="I95" s="8"/>
      <c r="J95" s="8"/>
      <c r="K95" s="8"/>
      <c r="L95" s="30"/>
      <c r="M95" s="30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72">
        <v>43576.0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30"/>
      <c r="M96" s="30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72">
        <v>43577.0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30"/>
      <c r="M97" s="30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72">
        <v>43578.0</v>
      </c>
      <c r="B98" s="8"/>
      <c r="C98" s="8"/>
      <c r="D98" s="8"/>
      <c r="E98" s="8"/>
      <c r="F98" s="71">
        <v>-31.55</v>
      </c>
      <c r="G98" s="71"/>
      <c r="H98" s="8"/>
      <c r="I98" s="8"/>
      <c r="J98" s="8"/>
      <c r="K98" s="8"/>
      <c r="L98" s="30"/>
      <c r="M98" s="30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72">
        <v>43579.0</v>
      </c>
      <c r="B99" s="8"/>
      <c r="C99" s="8"/>
      <c r="D99" s="8"/>
      <c r="E99" s="8"/>
      <c r="F99" s="71">
        <v>-36.9</v>
      </c>
      <c r="G99" s="71"/>
      <c r="H99" s="8"/>
      <c r="I99" s="8"/>
      <c r="J99" s="8"/>
      <c r="K99" s="8"/>
      <c r="L99" s="30"/>
      <c r="M99" s="30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72">
        <v>43580.0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30"/>
      <c r="M100" s="30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72">
        <v>43581.0</v>
      </c>
      <c r="B101" s="8"/>
      <c r="C101" s="8"/>
      <c r="D101" s="8"/>
      <c r="E101" s="8"/>
      <c r="F101" s="71">
        <v>-46.52</v>
      </c>
      <c r="G101" s="71"/>
      <c r="H101" s="8"/>
      <c r="I101" s="8"/>
      <c r="J101" s="8"/>
      <c r="K101" s="8"/>
      <c r="L101" s="30"/>
      <c r="M101" s="30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72">
        <v>43582.0</v>
      </c>
      <c r="B102" s="8"/>
      <c r="C102" s="8"/>
      <c r="D102" s="8"/>
      <c r="E102" s="70">
        <v>-10.0</v>
      </c>
      <c r="F102" s="71">
        <v>-13.5</v>
      </c>
      <c r="G102" s="71"/>
      <c r="H102" s="8"/>
      <c r="I102" s="8"/>
      <c r="J102" s="8"/>
      <c r="K102" s="8"/>
      <c r="L102" s="30"/>
      <c r="M102" s="30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72">
        <v>43583.0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30"/>
      <c r="M103" s="30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72">
        <v>43584.0</v>
      </c>
      <c r="B104" s="8"/>
      <c r="C104" s="8"/>
      <c r="D104" s="8"/>
      <c r="E104" s="8"/>
      <c r="F104" s="70">
        <v>-24.0</v>
      </c>
      <c r="G104" s="70"/>
      <c r="H104" s="8"/>
      <c r="I104" s="8"/>
      <c r="J104" s="8"/>
      <c r="K104" s="8"/>
      <c r="L104" s="30"/>
      <c r="M104" s="30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72">
        <v>43585.0</v>
      </c>
      <c r="B105" s="8"/>
      <c r="C105" s="8"/>
      <c r="D105" s="8"/>
      <c r="E105" s="8"/>
      <c r="F105" s="71">
        <v>-28.8</v>
      </c>
      <c r="G105" s="71"/>
      <c r="H105" s="8"/>
      <c r="I105" s="8"/>
      <c r="J105" s="8"/>
      <c r="K105" s="8"/>
      <c r="L105" s="30"/>
      <c r="M105" s="30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72">
        <v>43586.0</v>
      </c>
      <c r="B106" s="8"/>
      <c r="C106" s="8"/>
      <c r="D106" s="8"/>
      <c r="E106" s="8"/>
      <c r="F106" s="70">
        <v>-9.0</v>
      </c>
      <c r="G106" s="70"/>
      <c r="H106" s="8"/>
      <c r="I106" s="8"/>
      <c r="J106" s="8"/>
      <c r="K106" s="8"/>
      <c r="L106" s="30"/>
      <c r="M106" s="30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72">
        <v>43587.0</v>
      </c>
      <c r="B107" s="8"/>
      <c r="C107" s="8"/>
      <c r="D107" s="8"/>
      <c r="E107" s="8"/>
      <c r="F107" s="70">
        <v>-34.0</v>
      </c>
      <c r="G107" s="70"/>
      <c r="H107" s="8"/>
      <c r="I107" s="8"/>
      <c r="J107" s="8"/>
      <c r="K107" s="8"/>
      <c r="L107" s="30"/>
      <c r="M107" s="3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72">
        <v>43588.0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30"/>
      <c r="M108" s="30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72">
        <v>43589.0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30"/>
      <c r="M109" s="30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72">
        <v>43590.0</v>
      </c>
      <c r="B110" s="8"/>
      <c r="C110" s="8"/>
      <c r="D110" s="8"/>
      <c r="E110" s="70">
        <v>-50.0</v>
      </c>
      <c r="F110" s="70">
        <v>-25.0</v>
      </c>
      <c r="G110" s="70"/>
      <c r="H110" s="8"/>
      <c r="I110" s="8"/>
      <c r="J110" s="8"/>
      <c r="K110" s="8"/>
      <c r="L110" s="30"/>
      <c r="M110" s="30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72">
        <v>43591.0</v>
      </c>
      <c r="B111" s="8"/>
      <c r="C111" s="8"/>
      <c r="D111" s="8"/>
      <c r="E111" s="8"/>
      <c r="F111" s="71">
        <v>-15.5</v>
      </c>
      <c r="G111" s="71"/>
      <c r="H111" s="8"/>
      <c r="I111" s="8"/>
      <c r="J111" s="8"/>
      <c r="K111" s="8"/>
      <c r="L111" s="30"/>
      <c r="M111" s="30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72">
        <v>43592.0</v>
      </c>
      <c r="B112" s="8"/>
      <c r="C112" s="8"/>
      <c r="D112" s="8"/>
      <c r="E112" s="8"/>
      <c r="F112" s="70">
        <v>-100.0</v>
      </c>
      <c r="G112" s="70"/>
      <c r="H112" s="8"/>
      <c r="I112" s="8"/>
      <c r="J112" s="8"/>
      <c r="K112" s="8"/>
      <c r="L112" s="30"/>
      <c r="M112" s="30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72">
        <v>43593.0</v>
      </c>
      <c r="B113" s="8"/>
      <c r="C113" s="8"/>
      <c r="D113" s="8"/>
      <c r="E113" s="8"/>
      <c r="F113" s="71">
        <v>-11.2</v>
      </c>
      <c r="G113" s="71"/>
      <c r="H113" s="8"/>
      <c r="I113" s="8"/>
      <c r="J113" s="8"/>
      <c r="K113" s="8"/>
      <c r="L113" s="30"/>
      <c r="M113" s="30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72">
        <v>43594.0</v>
      </c>
      <c r="B114" s="8"/>
      <c r="C114" s="8"/>
      <c r="D114" s="8"/>
      <c r="E114" s="8"/>
      <c r="F114" s="70">
        <v>-32.0</v>
      </c>
      <c r="G114" s="70"/>
      <c r="H114" s="8"/>
      <c r="I114" s="8"/>
      <c r="J114" s="8"/>
      <c r="K114" s="8"/>
      <c r="L114" s="30"/>
      <c r="M114" s="3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72">
        <v>43595.0</v>
      </c>
      <c r="B115" s="8"/>
      <c r="C115" s="8"/>
      <c r="D115" s="8"/>
      <c r="E115" s="8"/>
      <c r="F115" s="71">
        <v>-52.46</v>
      </c>
      <c r="G115" s="71"/>
      <c r="H115" s="8"/>
      <c r="I115" s="8"/>
      <c r="J115" s="8"/>
      <c r="K115" s="8"/>
      <c r="L115" s="30"/>
      <c r="M115" s="30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72">
        <v>43596.0</v>
      </c>
      <c r="B116" s="8"/>
      <c r="C116" s="8"/>
      <c r="D116" s="8"/>
      <c r="E116" s="8"/>
      <c r="F116" s="71">
        <v>-17.55</v>
      </c>
      <c r="G116" s="71"/>
      <c r="H116" s="8"/>
      <c r="I116" s="8"/>
      <c r="J116" s="8"/>
      <c r="K116" s="8"/>
      <c r="L116" s="30"/>
      <c r="M116" s="3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72">
        <v>43597.0</v>
      </c>
      <c r="B117" s="8"/>
      <c r="C117" s="8"/>
      <c r="D117" s="8"/>
      <c r="E117" s="8"/>
      <c r="F117" s="71">
        <v>-37.5</v>
      </c>
      <c r="G117" s="71"/>
      <c r="H117" s="8"/>
      <c r="I117" s="8"/>
      <c r="J117" s="8"/>
      <c r="K117" s="8"/>
      <c r="L117" s="30"/>
      <c r="M117" s="3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72">
        <v>43598.0</v>
      </c>
      <c r="B118" s="8"/>
      <c r="C118" s="8"/>
      <c r="D118" s="8"/>
      <c r="E118" s="8"/>
      <c r="F118" s="71">
        <v>-90.5</v>
      </c>
      <c r="G118" s="71"/>
      <c r="H118" s="8"/>
      <c r="I118" s="8"/>
      <c r="J118" s="8"/>
      <c r="K118" s="8"/>
      <c r="L118" s="30"/>
      <c r="M118" s="3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72">
        <v>43599.0</v>
      </c>
      <c r="B119" s="8"/>
      <c r="C119" s="8"/>
      <c r="D119" s="8"/>
      <c r="E119" s="71">
        <v>-56.65</v>
      </c>
      <c r="F119" s="71">
        <v>-9.7</v>
      </c>
      <c r="G119" s="71"/>
      <c r="H119" s="8"/>
      <c r="I119" s="8"/>
      <c r="J119" s="8"/>
      <c r="K119" s="8"/>
      <c r="L119" s="30"/>
      <c r="M119" s="3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72">
        <v>43600.0</v>
      </c>
      <c r="B120" s="8"/>
      <c r="C120" s="8"/>
      <c r="D120" s="8"/>
      <c r="E120" s="8"/>
      <c r="F120" s="71">
        <v>-15.0</v>
      </c>
      <c r="G120" s="71"/>
      <c r="H120" s="8"/>
      <c r="I120" s="8"/>
      <c r="J120" s="29"/>
      <c r="K120" s="29">
        <v>-147.0</v>
      </c>
      <c r="L120" s="30"/>
      <c r="M120" s="3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72">
        <v>43601.0</v>
      </c>
      <c r="B121" s="8"/>
      <c r="C121" s="8"/>
      <c r="D121" s="8"/>
      <c r="E121" s="8"/>
      <c r="F121" s="70">
        <v>-14.5</v>
      </c>
      <c r="G121" s="70"/>
      <c r="H121" s="8"/>
      <c r="I121" s="8"/>
      <c r="J121" s="8"/>
      <c r="K121" s="8"/>
      <c r="L121" s="30"/>
      <c r="M121" s="3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72">
        <v>43602.0</v>
      </c>
      <c r="B122" s="8"/>
      <c r="C122" s="8"/>
      <c r="D122" s="8"/>
      <c r="E122" s="8"/>
      <c r="F122" s="71">
        <v>-43.39</v>
      </c>
      <c r="G122" s="71"/>
      <c r="H122" s="8"/>
      <c r="I122" s="8"/>
      <c r="J122" s="8"/>
      <c r="K122" s="8"/>
      <c r="L122" s="30"/>
      <c r="M122" s="3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72">
        <v>43603.0</v>
      </c>
      <c r="B123" s="8"/>
      <c r="C123" s="8"/>
      <c r="D123" s="8"/>
      <c r="E123" s="8"/>
      <c r="F123" s="71">
        <v>-3.8</v>
      </c>
      <c r="G123" s="71"/>
      <c r="H123" s="8"/>
      <c r="I123" s="8"/>
      <c r="J123" s="8"/>
      <c r="K123" s="8"/>
      <c r="L123" s="30"/>
      <c r="M123" s="3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72">
        <v>43604.0</v>
      </c>
      <c r="B124" s="8"/>
      <c r="C124" s="8"/>
      <c r="D124" s="8"/>
      <c r="E124" s="8"/>
      <c r="F124" s="70">
        <v>-10.0</v>
      </c>
      <c r="G124" s="70"/>
      <c r="H124" s="8"/>
      <c r="I124" s="8"/>
      <c r="J124" s="70"/>
      <c r="K124" s="70">
        <v>-97.0</v>
      </c>
      <c r="L124" s="30"/>
      <c r="M124" s="3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72">
        <v>43605.0</v>
      </c>
      <c r="B125" s="8"/>
      <c r="C125" s="8"/>
      <c r="D125" s="8"/>
      <c r="E125" s="8"/>
      <c r="F125" s="71">
        <v>-41.6</v>
      </c>
      <c r="G125" s="71"/>
      <c r="H125" s="8"/>
      <c r="I125" s="8"/>
      <c r="J125" s="70">
        <v>-41.0</v>
      </c>
      <c r="K125" s="29"/>
      <c r="L125" s="30"/>
      <c r="M125" s="3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72">
        <v>43606.0</v>
      </c>
      <c r="B126" s="8"/>
      <c r="C126" s="8"/>
      <c r="D126" s="8"/>
      <c r="E126" s="8"/>
      <c r="F126" s="70">
        <v>-16.0</v>
      </c>
      <c r="G126" s="70"/>
      <c r="H126" s="8"/>
      <c r="I126" s="8"/>
      <c r="J126" s="8"/>
      <c r="K126" s="70">
        <v>-35.0</v>
      </c>
      <c r="L126" s="30"/>
      <c r="M126" s="3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72">
        <v>43607.0</v>
      </c>
      <c r="B127" s="8"/>
      <c r="C127" s="8"/>
      <c r="D127" s="8"/>
      <c r="E127" s="8"/>
      <c r="F127" s="71">
        <v>-36.9</v>
      </c>
      <c r="G127" s="71"/>
      <c r="H127" s="8"/>
      <c r="I127" s="8"/>
      <c r="J127" s="8"/>
      <c r="K127" s="70">
        <v>-109.0</v>
      </c>
      <c r="L127" s="30"/>
      <c r="M127" s="3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72">
        <v>43608.0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30"/>
      <c r="M128" s="3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72">
        <v>43609.0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30"/>
      <c r="M129" s="3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72">
        <v>43610.0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30"/>
      <c r="M130" s="3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72">
        <v>43611.0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30"/>
      <c r="M131" s="3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72">
        <v>43612.0</v>
      </c>
      <c r="B132" s="8"/>
      <c r="C132" s="8"/>
      <c r="D132" s="8"/>
      <c r="E132" s="29" t="s">
        <v>73</v>
      </c>
      <c r="F132" s="29" t="s">
        <v>74</v>
      </c>
      <c r="G132" s="29"/>
      <c r="H132" s="8"/>
      <c r="I132" s="8"/>
      <c r="J132" s="8"/>
      <c r="K132" s="29" t="s">
        <v>75</v>
      </c>
      <c r="L132" s="30"/>
      <c r="M132" s="3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72">
        <v>43613.0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30"/>
      <c r="M133" s="3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72">
        <v>43614.0</v>
      </c>
      <c r="B134" s="8"/>
      <c r="C134" s="8"/>
      <c r="D134" s="8"/>
      <c r="E134" s="8"/>
      <c r="F134" s="29">
        <v>-44.0</v>
      </c>
      <c r="G134" s="8"/>
      <c r="H134" s="8"/>
      <c r="I134" s="8"/>
      <c r="J134" s="70">
        <v>-68.0</v>
      </c>
      <c r="K134" s="70">
        <v>-15.0</v>
      </c>
      <c r="L134" s="30"/>
      <c r="M134" s="3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72">
        <v>43615.0</v>
      </c>
      <c r="B135" s="8"/>
      <c r="C135" s="8"/>
      <c r="D135" s="8"/>
      <c r="E135" s="8"/>
      <c r="F135" s="71">
        <v>-70.59</v>
      </c>
      <c r="G135" s="8"/>
      <c r="H135" s="8"/>
      <c r="I135" s="8"/>
      <c r="J135" s="8"/>
      <c r="K135" s="8"/>
      <c r="L135" s="30"/>
      <c r="M135" s="3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72">
        <v>43616.0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30"/>
      <c r="M136" s="3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72">
        <v>43617.0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30"/>
      <c r="M137" s="3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72">
        <v>43618.0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30"/>
      <c r="M138" s="3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72">
        <v>43619.0</v>
      </c>
      <c r="B139" s="8"/>
      <c r="C139" s="8"/>
      <c r="D139" s="8"/>
      <c r="E139" s="8"/>
      <c r="F139" s="71">
        <v>-15.1</v>
      </c>
      <c r="G139" s="8"/>
      <c r="H139" s="8"/>
      <c r="I139" s="8"/>
      <c r="J139" s="8"/>
      <c r="K139" s="8"/>
      <c r="L139" s="30"/>
      <c r="M139" s="3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72">
        <v>43620.0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30"/>
      <c r="M140" s="3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72">
        <v>43621.0</v>
      </c>
      <c r="B141" s="8"/>
      <c r="C141" s="8"/>
      <c r="D141" s="8"/>
      <c r="E141" s="29">
        <v>-58.0</v>
      </c>
      <c r="F141" s="29">
        <v>-34.0</v>
      </c>
      <c r="G141" s="8"/>
      <c r="H141" s="8"/>
      <c r="I141" s="8"/>
      <c r="J141" s="8"/>
      <c r="K141" s="8"/>
      <c r="L141" s="30"/>
      <c r="M141" s="3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72">
        <v>43622.0</v>
      </c>
      <c r="B142" s="8"/>
      <c r="C142" s="8"/>
      <c r="D142" s="8"/>
      <c r="E142" s="8"/>
      <c r="F142" s="70">
        <v>-13.0</v>
      </c>
      <c r="G142" s="8"/>
      <c r="H142" s="8"/>
      <c r="I142" s="8"/>
      <c r="J142" s="8"/>
      <c r="K142" s="8"/>
      <c r="L142" s="30"/>
      <c r="M142" s="3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72">
        <v>43623.0</v>
      </c>
      <c r="B143" s="8"/>
      <c r="C143" s="8"/>
      <c r="D143" s="8"/>
      <c r="E143" s="8"/>
      <c r="F143" s="70">
        <v>-38.0</v>
      </c>
      <c r="G143" s="8"/>
      <c r="H143" s="8"/>
      <c r="I143" s="8"/>
      <c r="J143" s="8"/>
      <c r="K143" s="8"/>
      <c r="L143" s="30"/>
      <c r="M143" s="3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72">
        <v>43624.0</v>
      </c>
      <c r="B144" s="8"/>
      <c r="C144" s="8"/>
      <c r="D144" s="8"/>
      <c r="E144" s="8"/>
      <c r="F144" s="70">
        <f>sum(-30,-46,-19.74)</f>
        <v>-95.74</v>
      </c>
      <c r="G144" s="70">
        <f>sum(-180,-15)</f>
        <v>-195</v>
      </c>
      <c r="H144" s="8"/>
      <c r="I144" s="8"/>
      <c r="J144" s="8"/>
      <c r="K144" s="70">
        <v>-58.0</v>
      </c>
      <c r="L144" s="30"/>
      <c r="M144" s="3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72">
        <v>43625.0</v>
      </c>
      <c r="B145" s="8"/>
      <c r="C145" s="8"/>
      <c r="D145" s="8"/>
      <c r="E145" s="8"/>
      <c r="F145" s="70">
        <v>-21.0</v>
      </c>
      <c r="G145" s="8"/>
      <c r="H145" s="8"/>
      <c r="I145" s="8"/>
      <c r="J145" s="8"/>
      <c r="K145" s="8"/>
      <c r="L145" s="30"/>
      <c r="M145" s="3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72">
        <v>43626.0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30"/>
      <c r="M146" s="3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72">
        <v>43627.0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30"/>
      <c r="M147" s="3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72">
        <v>43628.0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30"/>
      <c r="M148" s="3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72">
        <v>43629.0</v>
      </c>
      <c r="B149" s="8"/>
      <c r="C149" s="8"/>
      <c r="D149" s="8"/>
      <c r="E149" s="8"/>
      <c r="F149" s="8">
        <f>sum(-12.25,-33.25,-23)</f>
        <v>-68.5</v>
      </c>
      <c r="G149" s="8"/>
      <c r="H149" s="8"/>
      <c r="I149" s="8"/>
      <c r="J149" s="8"/>
      <c r="K149" s="29">
        <v>-123.4</v>
      </c>
      <c r="L149" s="30"/>
      <c r="M149" s="3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72">
        <v>43630.0</v>
      </c>
      <c r="B150" s="8"/>
      <c r="C150" s="8"/>
      <c r="D150" s="8"/>
      <c r="E150" s="8"/>
      <c r="F150" s="29">
        <f>-2.99*3</f>
        <v>-8.97</v>
      </c>
      <c r="G150" s="8"/>
      <c r="H150" s="8"/>
      <c r="I150" s="8"/>
      <c r="J150" s="8">
        <f>sum(-55.78,-65.98)</f>
        <v>-121.76</v>
      </c>
      <c r="K150" s="8"/>
      <c r="L150" s="30"/>
      <c r="M150" s="3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72">
        <v>43631.0</v>
      </c>
      <c r="B151" s="8"/>
      <c r="C151" s="8"/>
      <c r="D151" s="8"/>
      <c r="E151" s="8"/>
      <c r="F151" s="8">
        <f>sum(-13.95,-3,-25)</f>
        <v>-41.95</v>
      </c>
      <c r="G151" s="8"/>
      <c r="H151" s="8"/>
      <c r="I151" s="8"/>
      <c r="J151" s="8"/>
      <c r="K151" s="8"/>
      <c r="L151" s="30"/>
      <c r="M151" s="3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72">
        <v>43632.0</v>
      </c>
      <c r="B152" s="8"/>
      <c r="C152" s="8"/>
      <c r="D152" s="8"/>
      <c r="E152" s="8"/>
      <c r="F152" s="8">
        <f>sum(-11,-30)</f>
        <v>-41</v>
      </c>
      <c r="G152" s="8"/>
      <c r="H152" s="8"/>
      <c r="I152" s="8"/>
      <c r="J152" s="8"/>
      <c r="K152" s="8"/>
      <c r="L152" s="30"/>
      <c r="M152" s="3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72">
        <v>43633.0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30"/>
      <c r="M153" s="3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72">
        <v>43634.0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30"/>
      <c r="M154" s="3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72">
        <v>43635.0</v>
      </c>
      <c r="B155" s="8"/>
      <c r="C155" s="8"/>
      <c r="D155" s="8"/>
      <c r="E155" s="29">
        <v>-47.37</v>
      </c>
      <c r="F155" s="29">
        <f>sum(-11.5,-9.8,-43,-21.05)</f>
        <v>-85.35</v>
      </c>
      <c r="G155" s="8"/>
      <c r="H155" s="8"/>
      <c r="I155" s="8"/>
      <c r="J155" s="8"/>
      <c r="K155" s="8"/>
      <c r="L155" s="30"/>
      <c r="M155" s="3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72">
        <v>43636.0</v>
      </c>
      <c r="B156" s="8"/>
      <c r="C156" s="8"/>
      <c r="D156" s="8"/>
      <c r="E156" s="8"/>
      <c r="F156" s="8">
        <f>sum(-33.55,-9.1)</f>
        <v>-42.65</v>
      </c>
      <c r="G156" s="8"/>
      <c r="H156" s="8"/>
      <c r="I156" s="8"/>
      <c r="J156" s="8"/>
      <c r="K156" s="8"/>
      <c r="L156" s="30"/>
      <c r="M156" s="3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72">
        <v>43637.0</v>
      </c>
      <c r="B157" s="8"/>
      <c r="C157" s="8"/>
      <c r="D157" s="8"/>
      <c r="E157" s="8"/>
      <c r="F157" s="29">
        <v>-70.65</v>
      </c>
      <c r="G157" s="8"/>
      <c r="H157" s="8"/>
      <c r="I157" s="8"/>
      <c r="J157" s="8"/>
      <c r="K157" s="8"/>
      <c r="L157" s="30"/>
      <c r="M157" s="3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72">
        <v>43638.0</v>
      </c>
      <c r="B158" s="8"/>
      <c r="C158" s="8"/>
      <c r="D158" s="8"/>
      <c r="E158" s="8"/>
      <c r="F158" s="8">
        <f>sum(-25,-14.5,-4.5)</f>
        <v>-44</v>
      </c>
      <c r="G158" s="8"/>
      <c r="H158" s="8"/>
      <c r="I158" s="8"/>
      <c r="J158" s="8"/>
      <c r="K158" s="8"/>
      <c r="L158" s="30"/>
      <c r="M158" s="3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72">
        <v>43639.0</v>
      </c>
      <c r="B159" s="8"/>
      <c r="C159" s="8"/>
      <c r="D159" s="8"/>
      <c r="E159" s="8"/>
      <c r="F159" s="8">
        <f>sum(-28.2,-10.7)</f>
        <v>-38.9</v>
      </c>
      <c r="G159" s="8"/>
      <c r="H159" s="8"/>
      <c r="I159" s="8"/>
      <c r="J159" s="8"/>
      <c r="K159" s="8"/>
      <c r="L159" s="30"/>
      <c r="M159" s="3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72">
        <v>43640.0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30"/>
      <c r="M160" s="3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72">
        <v>43641.0</v>
      </c>
      <c r="B161" s="8"/>
      <c r="C161" s="8"/>
      <c r="D161" s="8"/>
      <c r="E161" s="29">
        <v>-35.06</v>
      </c>
      <c r="F161" s="8">
        <f>sum(-25.5,-28.05,-15.5)</f>
        <v>-69.05</v>
      </c>
      <c r="G161" s="8"/>
      <c r="H161" s="8"/>
      <c r="I161" s="8"/>
      <c r="J161" s="8"/>
      <c r="K161" s="8"/>
      <c r="L161" s="30"/>
      <c r="M161" s="3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72">
        <v>43642.0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30"/>
      <c r="M162" s="3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72">
        <v>43643.0</v>
      </c>
      <c r="B163" s="8"/>
      <c r="C163" s="8"/>
      <c r="D163" s="8"/>
      <c r="E163" s="8"/>
      <c r="F163" s="8">
        <f>-sum(19,17,12.47,4.45)</f>
        <v>-52.92</v>
      </c>
      <c r="G163" s="29">
        <v>-69.4</v>
      </c>
      <c r="H163" s="8"/>
      <c r="I163" s="8"/>
      <c r="J163" s="8"/>
      <c r="K163" s="8"/>
      <c r="L163" s="30"/>
      <c r="M163" s="3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72">
        <v>43644.0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30"/>
      <c r="M164" s="3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72">
        <v>43645.0</v>
      </c>
      <c r="B165" s="8"/>
      <c r="C165" s="8"/>
      <c r="D165" s="8"/>
      <c r="E165" s="8"/>
      <c r="F165" s="29">
        <v>-57.55</v>
      </c>
      <c r="G165" s="8"/>
      <c r="H165" s="8"/>
      <c r="I165" s="8"/>
      <c r="J165" s="8"/>
      <c r="K165" s="8"/>
      <c r="L165" s="30"/>
      <c r="M165" s="3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72">
        <v>43646.0</v>
      </c>
      <c r="B166" s="8"/>
      <c r="C166" s="8"/>
      <c r="D166" s="8"/>
      <c r="E166" s="8"/>
      <c r="F166" s="29">
        <f>-sum(21.8,10,12.05)</f>
        <v>-43.85</v>
      </c>
      <c r="G166" s="8"/>
      <c r="H166" s="8"/>
      <c r="I166" s="8"/>
      <c r="J166" s="8"/>
      <c r="K166" s="8"/>
      <c r="L166" s="30"/>
      <c r="M166" s="3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72">
        <v>43647.0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30"/>
      <c r="M167" s="3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72">
        <v>43648.0</v>
      </c>
      <c r="B168" s="8"/>
      <c r="C168" s="8"/>
      <c r="D168" s="8"/>
      <c r="E168" s="8"/>
      <c r="F168" s="8">
        <f>-sum(6.95,13,23.5)</f>
        <v>-43.45</v>
      </c>
      <c r="G168" s="8"/>
      <c r="H168" s="8"/>
      <c r="I168" s="8"/>
      <c r="J168" s="8"/>
      <c r="K168" s="8"/>
      <c r="L168" s="30"/>
      <c r="M168" s="3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72">
        <v>43649.0</v>
      </c>
      <c r="B169" s="8"/>
      <c r="C169" s="8"/>
      <c r="D169" s="8"/>
      <c r="E169" s="8"/>
      <c r="F169" s="29">
        <v>-27.0</v>
      </c>
      <c r="G169" s="8"/>
      <c r="H169" s="8"/>
      <c r="I169" s="8"/>
      <c r="J169" s="8"/>
      <c r="K169" s="8"/>
      <c r="L169" s="30"/>
      <c r="M169" s="3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72">
        <v>43650.0</v>
      </c>
      <c r="B170" s="8"/>
      <c r="C170" s="8"/>
      <c r="D170" s="8"/>
      <c r="E170" s="8"/>
      <c r="F170" s="8">
        <f>-sum(34.9,37.15,7)</f>
        <v>-79.05</v>
      </c>
      <c r="G170" s="8"/>
      <c r="H170" s="8"/>
      <c r="I170" s="8"/>
      <c r="J170" s="8"/>
      <c r="K170" s="8"/>
      <c r="L170" s="30"/>
      <c r="M170" s="3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72">
        <v>43651.0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30"/>
      <c r="M171" s="3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72">
        <v>43652.0</v>
      </c>
      <c r="B172" s="8"/>
      <c r="C172" s="8"/>
      <c r="D172" s="8"/>
      <c r="E172" s="8"/>
      <c r="F172" s="29">
        <v>-83.3</v>
      </c>
      <c r="G172" s="8"/>
      <c r="H172" s="8"/>
      <c r="I172" s="8"/>
      <c r="J172" s="8"/>
      <c r="K172" s="8"/>
      <c r="L172" s="30"/>
      <c r="M172" s="3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72">
        <v>43653.0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30"/>
      <c r="M173" s="3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72">
        <v>43654.0</v>
      </c>
      <c r="B174" s="8"/>
      <c r="C174" s="8"/>
      <c r="D174" s="8"/>
      <c r="E174" s="29">
        <v>-46.2</v>
      </c>
      <c r="F174" s="8">
        <f>-sum(13.3)</f>
        <v>-13.3</v>
      </c>
      <c r="G174" s="8"/>
      <c r="H174" s="8"/>
      <c r="I174" s="8"/>
      <c r="J174" s="8"/>
      <c r="K174" s="8"/>
      <c r="L174" s="30"/>
      <c r="M174" s="3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72">
        <v>43655.0</v>
      </c>
      <c r="B175" s="8"/>
      <c r="C175" s="8"/>
      <c r="D175" s="8"/>
      <c r="E175" s="8"/>
      <c r="F175" s="29">
        <v>-8.0</v>
      </c>
      <c r="G175" s="8"/>
      <c r="H175" s="8"/>
      <c r="I175" s="8"/>
      <c r="J175" s="8"/>
      <c r="K175" s="8"/>
      <c r="L175" s="30"/>
      <c r="M175" s="3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72">
        <v>43656.0</v>
      </c>
      <c r="B176" s="8"/>
      <c r="C176" s="8"/>
      <c r="D176" s="8"/>
      <c r="E176" s="8"/>
      <c r="F176" s="8"/>
      <c r="G176" s="29">
        <v>-171.76</v>
      </c>
      <c r="H176" s="8"/>
      <c r="I176" s="8"/>
      <c r="J176" s="8"/>
      <c r="K176" s="8"/>
      <c r="L176" s="30"/>
      <c r="M176" s="3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72">
        <v>43657.0</v>
      </c>
      <c r="B177" s="8"/>
      <c r="C177" s="8"/>
      <c r="D177" s="8"/>
      <c r="E177" s="8"/>
      <c r="F177" s="8">
        <f>-sum(30.05,28.8,4.95,13.8,14,11.6)</f>
        <v>-103.2</v>
      </c>
      <c r="G177" s="8"/>
      <c r="H177" s="8"/>
      <c r="I177" s="8"/>
      <c r="J177" s="8"/>
      <c r="K177" s="8"/>
      <c r="L177" s="30"/>
      <c r="M177" s="3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72">
        <v>43658.0</v>
      </c>
      <c r="B178" s="8"/>
      <c r="C178" s="8"/>
      <c r="D178" s="8"/>
      <c r="E178" s="8"/>
      <c r="F178" s="29">
        <v>-32.8</v>
      </c>
      <c r="G178" s="8"/>
      <c r="H178" s="8"/>
      <c r="I178" s="8"/>
      <c r="J178" s="8"/>
      <c r="K178" s="8"/>
      <c r="L178" s="30"/>
      <c r="M178" s="3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72">
        <v>43659.0</v>
      </c>
      <c r="B179" s="8"/>
      <c r="C179" s="8"/>
      <c r="D179" s="8"/>
      <c r="E179" s="8"/>
      <c r="F179" s="29">
        <v>-710.0</v>
      </c>
      <c r="G179" s="8"/>
      <c r="H179" s="8"/>
      <c r="I179" s="8"/>
      <c r="J179" s="8"/>
      <c r="K179" s="8"/>
      <c r="L179" s="30"/>
      <c r="M179" s="3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72">
        <v>43660.0</v>
      </c>
      <c r="B180" s="8"/>
      <c r="C180" s="8"/>
      <c r="D180" s="8"/>
      <c r="E180" s="8"/>
      <c r="F180" s="8">
        <f>-sum(18.2,48.1)</f>
        <v>-66.3</v>
      </c>
      <c r="G180" s="8"/>
      <c r="H180" s="8"/>
      <c r="I180" s="8"/>
      <c r="J180" s="8"/>
      <c r="K180" s="8"/>
      <c r="L180" s="30"/>
      <c r="M180" s="3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72">
        <v>43661.0</v>
      </c>
      <c r="B181" s="8"/>
      <c r="C181" s="8"/>
      <c r="D181" s="8"/>
      <c r="E181" s="8"/>
      <c r="F181" s="29">
        <v>-130.0</v>
      </c>
      <c r="G181" s="8"/>
      <c r="H181" s="8"/>
      <c r="I181" s="8"/>
      <c r="J181" s="8"/>
      <c r="K181" s="8"/>
      <c r="L181" s="30"/>
      <c r="M181" s="3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72">
        <v>43662.0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30"/>
      <c r="M182" s="3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72">
        <v>43663.0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30"/>
      <c r="M183" s="3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72">
        <v>43664.0</v>
      </c>
      <c r="B184" s="8"/>
      <c r="C184" s="8"/>
      <c r="D184" s="8"/>
      <c r="E184" s="8"/>
      <c r="F184" s="29">
        <v>-20.0</v>
      </c>
      <c r="G184" s="8"/>
      <c r="H184" s="8"/>
      <c r="I184" s="8"/>
      <c r="J184" s="8"/>
      <c r="K184" s="8"/>
      <c r="L184" s="30"/>
      <c r="M184" s="3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72">
        <v>43665.0</v>
      </c>
      <c r="B185" s="8"/>
      <c r="C185" s="8"/>
      <c r="D185" s="8"/>
      <c r="E185" s="8"/>
      <c r="F185" s="8"/>
      <c r="G185" s="8"/>
      <c r="H185" s="8"/>
      <c r="I185" s="8"/>
      <c r="J185" s="29"/>
      <c r="K185" s="8"/>
      <c r="L185" s="30"/>
      <c r="M185" s="3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72">
        <v>43666.0</v>
      </c>
      <c r="B186" s="8"/>
      <c r="C186" s="8"/>
      <c r="D186" s="8"/>
      <c r="E186" s="29">
        <v>-41.5</v>
      </c>
      <c r="F186" s="8">
        <f>-sum(24.1,20,31.6,5.8)</f>
        <v>-81.5</v>
      </c>
      <c r="G186" s="8"/>
      <c r="H186" s="8"/>
      <c r="I186" s="8"/>
      <c r="J186" s="8"/>
      <c r="K186" s="8"/>
      <c r="L186" s="30"/>
      <c r="M186" s="3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72">
        <v>43667.0</v>
      </c>
      <c r="B187" s="8"/>
      <c r="C187" s="8"/>
      <c r="D187" s="8"/>
      <c r="E187" s="8"/>
      <c r="F187" s="8">
        <f>-sum(50,24.45,8.25)</f>
        <v>-82.7</v>
      </c>
      <c r="G187" s="8"/>
      <c r="H187" s="8"/>
      <c r="I187" s="8"/>
      <c r="J187" s="8"/>
      <c r="K187" s="8"/>
      <c r="L187" s="30"/>
      <c r="M187" s="3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72">
        <v>43668.0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30"/>
      <c r="M188" s="3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72">
        <v>43669.0</v>
      </c>
      <c r="B189" s="8"/>
      <c r="C189" s="8"/>
      <c r="D189" s="8"/>
      <c r="E189" s="8"/>
      <c r="F189" s="29">
        <v>-22.5</v>
      </c>
      <c r="G189" s="8"/>
      <c r="H189" s="8"/>
      <c r="I189" s="8"/>
      <c r="J189" s="8"/>
      <c r="K189" s="8"/>
      <c r="L189" s="30"/>
      <c r="M189" s="3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72">
        <v>43670.0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30"/>
      <c r="M190" s="3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72">
        <v>43671.0</v>
      </c>
      <c r="B191" s="8"/>
      <c r="C191" s="8"/>
      <c r="D191" s="8"/>
      <c r="E191" s="8"/>
      <c r="F191" s="29">
        <v>-45.2</v>
      </c>
      <c r="G191" s="8"/>
      <c r="H191" s="8"/>
      <c r="I191" s="8"/>
      <c r="J191" s="8"/>
      <c r="K191" s="8"/>
      <c r="L191" s="30"/>
      <c r="M191" s="3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72">
        <v>43672.0</v>
      </c>
      <c r="B192" s="8"/>
      <c r="C192" s="8"/>
      <c r="D192" s="8"/>
      <c r="E192" s="8"/>
      <c r="F192" s="8">
        <f>-sum(12,5,1,1.5,7,17.3)</f>
        <v>-43.8</v>
      </c>
      <c r="G192" s="8"/>
      <c r="H192" s="8"/>
      <c r="I192" s="8"/>
      <c r="J192" s="29">
        <v>-17.95</v>
      </c>
      <c r="K192" s="8"/>
      <c r="L192" s="30"/>
      <c r="M192" s="3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72">
        <v>43673.0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30"/>
      <c r="M193" s="3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72">
        <v>43674.0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30"/>
      <c r="M194" s="3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72">
        <v>43675.0</v>
      </c>
      <c r="B195" s="8"/>
      <c r="C195" s="8"/>
      <c r="D195" s="8"/>
      <c r="E195" s="29">
        <v>-54.12</v>
      </c>
      <c r="F195" s="29">
        <v>-12.5</v>
      </c>
      <c r="G195" s="8"/>
      <c r="H195" s="8"/>
      <c r="I195" s="8"/>
      <c r="J195" s="8"/>
      <c r="K195" s="8"/>
      <c r="L195" s="30"/>
      <c r="M195" s="3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72">
        <v>43676.0</v>
      </c>
      <c r="B196" s="8"/>
      <c r="C196" s="8"/>
      <c r="D196" s="8"/>
      <c r="E196" s="8"/>
      <c r="F196" s="8">
        <f>-SUM(13.8,2.8,10,13,12.4,9.45)</f>
        <v>-61.45</v>
      </c>
      <c r="G196" s="8"/>
      <c r="H196" s="8"/>
      <c r="I196" s="8"/>
      <c r="J196" s="8"/>
      <c r="K196" s="8"/>
      <c r="L196" s="30"/>
      <c r="M196" s="3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72">
        <v>43677.0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30"/>
      <c r="M197" s="3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8.0" customHeight="1">
      <c r="A198" s="72">
        <v>43678.0</v>
      </c>
      <c r="B198" s="8"/>
      <c r="C198" s="8"/>
      <c r="D198" s="8"/>
      <c r="E198" s="8"/>
      <c r="F198" s="29">
        <v>-5.56</v>
      </c>
      <c r="G198" s="8"/>
      <c r="H198" s="8"/>
      <c r="I198" s="8"/>
      <c r="J198" s="29">
        <v>-13.16</v>
      </c>
      <c r="K198" s="8"/>
      <c r="L198" s="30"/>
      <c r="M198" s="3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72">
        <v>43679.0</v>
      </c>
      <c r="B199" s="8"/>
      <c r="C199" s="8"/>
      <c r="D199" s="8"/>
      <c r="E199" s="8"/>
      <c r="F199" s="29">
        <v>-31.5</v>
      </c>
      <c r="G199" s="8"/>
      <c r="H199" s="8"/>
      <c r="I199" s="8"/>
      <c r="J199" s="8"/>
      <c r="K199" s="8"/>
      <c r="L199" s="30"/>
      <c r="M199" s="3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72">
        <v>43680.0</v>
      </c>
      <c r="B200" s="8"/>
      <c r="C200" s="8"/>
      <c r="D200" s="8"/>
      <c r="E200" s="8"/>
      <c r="F200" s="29">
        <f>-sum(29,9.62)</f>
        <v>-38.62</v>
      </c>
      <c r="G200" s="8"/>
      <c r="H200" s="8"/>
      <c r="I200" s="8"/>
      <c r="J200" s="8"/>
      <c r="K200" s="8"/>
      <c r="L200" s="30"/>
      <c r="M200" s="3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72">
        <v>43681.0</v>
      </c>
      <c r="B201" s="8"/>
      <c r="C201" s="8"/>
      <c r="D201" s="8"/>
      <c r="E201" s="8"/>
      <c r="F201" s="8">
        <f>-sum(33.35,20.1)</f>
        <v>-53.45</v>
      </c>
      <c r="G201" s="8"/>
      <c r="H201" s="8"/>
      <c r="I201" s="8"/>
      <c r="J201" s="8"/>
      <c r="K201" s="8"/>
      <c r="L201" s="30"/>
      <c r="M201" s="3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72">
        <v>43682.0</v>
      </c>
      <c r="B202" s="8"/>
      <c r="C202" s="8"/>
      <c r="D202" s="8"/>
      <c r="E202" s="29">
        <v>-50.34</v>
      </c>
      <c r="F202" s="8"/>
      <c r="G202" s="8"/>
      <c r="H202" s="8"/>
      <c r="I202" s="8"/>
      <c r="J202" s="8"/>
      <c r="K202" s="8"/>
      <c r="L202" s="30"/>
      <c r="M202" s="3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72">
        <v>43683.0</v>
      </c>
      <c r="B203" s="8"/>
      <c r="C203" s="8"/>
      <c r="D203" s="8"/>
      <c r="E203" s="8"/>
      <c r="F203" s="29">
        <v>-30.3</v>
      </c>
      <c r="G203" s="29">
        <v>-216.3</v>
      </c>
      <c r="H203" s="8"/>
      <c r="I203" s="8"/>
      <c r="J203" s="29">
        <v>-91.0</v>
      </c>
      <c r="K203" s="8"/>
      <c r="L203" s="30"/>
      <c r="M203" s="3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72">
        <v>43684.0</v>
      </c>
      <c r="B204" s="8"/>
      <c r="C204" s="8"/>
      <c r="D204" s="8"/>
      <c r="E204" s="8"/>
      <c r="F204" s="29">
        <v>-42.5</v>
      </c>
      <c r="G204" s="8"/>
      <c r="H204" s="8"/>
      <c r="I204" s="8"/>
      <c r="J204" s="8"/>
      <c r="K204" s="8"/>
      <c r="L204" s="30"/>
      <c r="M204" s="3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72">
        <v>43685.0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30"/>
      <c r="M205" s="3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72">
        <v>43686.0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30"/>
      <c r="M206" s="3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72">
        <v>43687.0</v>
      </c>
      <c r="B207" s="8"/>
      <c r="C207" s="8"/>
      <c r="D207" s="8"/>
      <c r="E207" s="29">
        <v>-42.1</v>
      </c>
      <c r="F207" s="8">
        <f>-sum(43,25)</f>
        <v>-68</v>
      </c>
      <c r="G207" s="8"/>
      <c r="H207" s="8"/>
      <c r="I207" s="8"/>
      <c r="J207" s="29">
        <v>-31.4</v>
      </c>
      <c r="K207" s="8"/>
      <c r="L207" s="30"/>
      <c r="M207" s="3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72">
        <v>43688.0</v>
      </c>
      <c r="B208" s="8"/>
      <c r="C208" s="8"/>
      <c r="D208" s="8"/>
      <c r="E208" s="8"/>
      <c r="F208" s="8">
        <f>-sum(19.4,11.26,25.6,7.3)</f>
        <v>-63.56</v>
      </c>
      <c r="G208" s="8"/>
      <c r="H208" s="8"/>
      <c r="I208" s="8"/>
      <c r="J208" s="8"/>
      <c r="K208" s="8"/>
      <c r="L208" s="30"/>
      <c r="M208" s="3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72">
        <v>43689.0</v>
      </c>
      <c r="B209" s="8"/>
      <c r="C209" s="8"/>
      <c r="D209" s="8"/>
      <c r="E209" s="8"/>
      <c r="F209" s="29">
        <v>-23.5</v>
      </c>
      <c r="G209" s="8"/>
      <c r="H209" s="8"/>
      <c r="I209" s="8"/>
      <c r="J209" s="8"/>
      <c r="K209" s="8"/>
      <c r="L209" s="30"/>
      <c r="M209" s="3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72">
        <v>43690.0</v>
      </c>
      <c r="B210" s="8"/>
      <c r="C210" s="8"/>
      <c r="D210" s="8"/>
      <c r="E210" s="8"/>
      <c r="F210" s="8">
        <f>-sum(6.55,12,50)</f>
        <v>-68.55</v>
      </c>
      <c r="G210" s="8"/>
      <c r="H210" s="8"/>
      <c r="I210" s="8"/>
      <c r="J210" s="8"/>
      <c r="K210" s="8"/>
      <c r="L210" s="30"/>
      <c r="M210" s="3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72">
        <v>43691.0</v>
      </c>
      <c r="B211" s="8"/>
      <c r="C211" s="8"/>
      <c r="D211" s="8"/>
      <c r="E211" s="29">
        <v>-30.0</v>
      </c>
      <c r="F211" s="8">
        <f>-sum(10.15,10.45,13.64,38.75)</f>
        <v>-72.99</v>
      </c>
      <c r="G211" s="8"/>
      <c r="H211" s="8"/>
      <c r="I211" s="8"/>
      <c r="J211" s="8"/>
      <c r="K211" s="8"/>
      <c r="L211" s="30"/>
      <c r="M211" s="3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72">
        <v>43692.0</v>
      </c>
      <c r="B212" s="8"/>
      <c r="C212" s="8"/>
      <c r="D212" s="8"/>
      <c r="E212" s="8"/>
      <c r="F212" s="29">
        <v>-55.0</v>
      </c>
      <c r="G212" s="8"/>
      <c r="H212" s="8"/>
      <c r="I212" s="8"/>
      <c r="J212" s="8"/>
      <c r="K212" s="8"/>
      <c r="L212" s="30"/>
      <c r="M212" s="3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72">
        <v>43693.0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30"/>
      <c r="M213" s="3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72">
        <v>43694.0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30"/>
      <c r="M214" s="3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72">
        <v>43695.0</v>
      </c>
      <c r="B215" s="8"/>
      <c r="C215" s="8"/>
      <c r="D215" s="8"/>
      <c r="E215" s="8"/>
      <c r="F215" s="29">
        <v>-71.5</v>
      </c>
      <c r="G215" s="8"/>
      <c r="H215" s="8"/>
      <c r="I215" s="8"/>
      <c r="J215" s="8"/>
      <c r="K215" s="8"/>
      <c r="L215" s="30"/>
      <c r="M215" s="3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72">
        <v>43696.0</v>
      </c>
      <c r="B216" s="8"/>
      <c r="C216" s="8"/>
      <c r="D216" s="8"/>
      <c r="E216" s="8"/>
      <c r="F216" s="29">
        <v>-30.5</v>
      </c>
      <c r="G216" s="8"/>
      <c r="H216" s="8"/>
      <c r="I216" s="8"/>
      <c r="J216" s="8"/>
      <c r="K216" s="8"/>
      <c r="L216" s="30"/>
      <c r="M216" s="3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72">
        <v>43697.0</v>
      </c>
      <c r="B217" s="8"/>
      <c r="C217" s="8"/>
      <c r="D217" s="8"/>
      <c r="E217" s="8"/>
      <c r="F217" s="8"/>
      <c r="G217" s="8"/>
      <c r="H217" s="8"/>
      <c r="I217" s="29">
        <v>-4827.68</v>
      </c>
      <c r="J217" s="8"/>
      <c r="K217" s="8"/>
      <c r="L217" s="30"/>
      <c r="M217" s="3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72">
        <v>43698.0</v>
      </c>
      <c r="B218" s="8"/>
      <c r="C218" s="8"/>
      <c r="D218" s="8"/>
      <c r="E218" s="29">
        <v>-38.57</v>
      </c>
      <c r="F218" s="8"/>
      <c r="G218" s="29">
        <v>-98.6</v>
      </c>
      <c r="H218" s="8"/>
      <c r="I218" s="8"/>
      <c r="J218" s="8"/>
      <c r="K218" s="8"/>
      <c r="L218" s="30"/>
      <c r="M218" s="3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72">
        <v>43699.0</v>
      </c>
      <c r="B219" s="8"/>
      <c r="C219" s="8"/>
      <c r="D219" s="8"/>
      <c r="E219" s="8"/>
      <c r="F219" s="8">
        <f>-sum(13.45,36.69,20,8,14)</f>
        <v>-92.14</v>
      </c>
      <c r="G219" s="8"/>
      <c r="H219" s="8"/>
      <c r="I219" s="8"/>
      <c r="J219" s="8"/>
      <c r="K219" s="8"/>
      <c r="L219" s="30"/>
      <c r="M219" s="3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72">
        <v>43700.0</v>
      </c>
      <c r="B220" s="8"/>
      <c r="C220" s="8"/>
      <c r="D220" s="8"/>
      <c r="E220" s="8"/>
      <c r="F220" s="8">
        <f>-sum(204,25,24)</f>
        <v>-253</v>
      </c>
      <c r="G220" s="8"/>
      <c r="H220" s="8"/>
      <c r="I220" s="8"/>
      <c r="J220" s="8"/>
      <c r="K220" s="8"/>
      <c r="L220" s="30"/>
      <c r="M220" s="3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72">
        <v>43701.0</v>
      </c>
      <c r="B221" s="8"/>
      <c r="C221" s="8"/>
      <c r="D221" s="8"/>
      <c r="E221" s="8"/>
      <c r="F221" s="8">
        <f>-sum(45,7,38.35)</f>
        <v>-90.35</v>
      </c>
      <c r="G221" s="8"/>
      <c r="H221" s="8"/>
      <c r="I221" s="8"/>
      <c r="J221" s="8"/>
      <c r="K221" s="8"/>
      <c r="L221" s="30"/>
      <c r="M221" s="3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72">
        <v>43702.0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30"/>
      <c r="M222" s="3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72">
        <v>43703.0</v>
      </c>
      <c r="B223" s="8"/>
      <c r="C223" s="8"/>
      <c r="D223" s="8"/>
      <c r="E223" s="8"/>
      <c r="F223" s="8">
        <f>-sum(17.6,24.3,25.5,5)</f>
        <v>-72.4</v>
      </c>
      <c r="G223" s="8"/>
      <c r="H223" s="8"/>
      <c r="I223" s="8"/>
      <c r="J223" s="8"/>
      <c r="K223" s="8"/>
      <c r="L223" s="30"/>
      <c r="M223" s="3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72">
        <v>43704.0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30"/>
      <c r="M224" s="3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72">
        <v>43705.0</v>
      </c>
      <c r="B225" s="8"/>
      <c r="C225" s="8"/>
      <c r="D225" s="8"/>
      <c r="E225" s="8"/>
      <c r="F225" s="29">
        <v>-35.25</v>
      </c>
      <c r="G225" s="8"/>
      <c r="H225" s="8"/>
      <c r="I225" s="8"/>
      <c r="J225" s="29">
        <v>-82.97</v>
      </c>
      <c r="K225" s="8"/>
      <c r="L225" s="30"/>
      <c r="M225" s="3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72">
        <v>43706.0</v>
      </c>
      <c r="B226" s="8"/>
      <c r="C226" s="8"/>
      <c r="D226" s="8"/>
      <c r="E226" s="29">
        <v>-49.1</v>
      </c>
      <c r="F226" s="29">
        <v>-27.85</v>
      </c>
      <c r="G226" s="8"/>
      <c r="H226" s="8"/>
      <c r="I226" s="8"/>
      <c r="J226" s="8"/>
      <c r="K226" s="8"/>
      <c r="L226" s="30"/>
      <c r="M226" s="3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72">
        <v>43707.0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30"/>
      <c r="M227" s="3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72">
        <v>43708.0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30"/>
      <c r="M228" s="3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72">
        <v>43709.0</v>
      </c>
      <c r="B229" s="8"/>
      <c r="C229" s="8"/>
      <c r="D229" s="8"/>
      <c r="E229" s="8">
        <f>-sum(35)</f>
        <v>-35</v>
      </c>
      <c r="G229" s="8"/>
      <c r="H229" s="8"/>
      <c r="I229" s="8"/>
      <c r="J229" s="8"/>
      <c r="K229" s="8"/>
      <c r="L229" s="30"/>
      <c r="M229" s="3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72">
        <v>43710.0</v>
      </c>
      <c r="B230" s="8"/>
      <c r="C230" s="8"/>
      <c r="D230" s="8"/>
      <c r="E230" s="29">
        <v>-20.0</v>
      </c>
      <c r="F230" s="29">
        <v>-11.0</v>
      </c>
      <c r="G230" s="8"/>
      <c r="H230" s="8"/>
      <c r="I230" s="8"/>
      <c r="J230" s="8"/>
      <c r="K230" s="8"/>
      <c r="L230" s="30"/>
      <c r="M230" s="3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72">
        <v>43711.0</v>
      </c>
      <c r="B231" s="8"/>
      <c r="C231" s="8"/>
      <c r="D231" s="8"/>
      <c r="E231" s="8"/>
      <c r="G231" s="8"/>
      <c r="H231" s="8"/>
      <c r="I231" s="8"/>
      <c r="J231" s="8"/>
      <c r="K231" s="8"/>
      <c r="L231" s="30"/>
      <c r="M231" s="3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72">
        <v>43712.0</v>
      </c>
      <c r="B232" s="8"/>
      <c r="C232" s="8"/>
      <c r="D232" s="8"/>
      <c r="E232" s="8"/>
      <c r="G232" s="8"/>
      <c r="H232" s="8"/>
      <c r="I232" s="8"/>
      <c r="J232" s="8"/>
      <c r="K232" s="8"/>
      <c r="L232" s="30"/>
      <c r="M232" s="3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72">
        <v>43713.0</v>
      </c>
      <c r="B233" s="8"/>
      <c r="C233" s="8"/>
      <c r="D233" s="8"/>
      <c r="E233" s="29">
        <v>-20.0</v>
      </c>
      <c r="G233" s="8"/>
      <c r="H233" s="8"/>
      <c r="I233" s="8"/>
      <c r="J233" s="8"/>
      <c r="K233" s="8"/>
      <c r="L233" s="30"/>
      <c r="M233" s="3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72">
        <v>43714.0</v>
      </c>
      <c r="B234" s="8"/>
      <c r="C234" s="8"/>
      <c r="D234" s="8"/>
      <c r="E234" s="29">
        <v>-48.55</v>
      </c>
      <c r="F234" s="29">
        <v>-23.0</v>
      </c>
      <c r="G234" s="8"/>
      <c r="H234" s="29">
        <v>-231.6</v>
      </c>
      <c r="I234" s="8"/>
      <c r="J234" s="8"/>
      <c r="K234" s="8"/>
      <c r="L234" s="30"/>
      <c r="M234" s="3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72">
        <v>43715.0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30"/>
      <c r="M235" s="3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72">
        <v>43716.0</v>
      </c>
      <c r="B236" s="8"/>
      <c r="C236" s="8"/>
      <c r="D236" s="8"/>
      <c r="E236" s="8"/>
      <c r="F236" s="29">
        <v>-207.0</v>
      </c>
      <c r="G236" s="8"/>
      <c r="H236" s="8"/>
      <c r="I236" s="8"/>
      <c r="J236" s="8"/>
      <c r="K236" s="8"/>
      <c r="L236" s="30"/>
      <c r="M236" s="3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72">
        <v>43717.0</v>
      </c>
      <c r="B237" s="8"/>
      <c r="C237" s="8"/>
      <c r="D237" s="8"/>
      <c r="E237" s="8"/>
      <c r="F237" s="29">
        <f>-sum(49.5,18.7,11.5)</f>
        <v>-79.7</v>
      </c>
      <c r="G237" s="8"/>
      <c r="H237" s="8"/>
      <c r="I237" s="8"/>
      <c r="J237" s="8"/>
      <c r="K237" s="8"/>
      <c r="L237" s="30"/>
      <c r="M237" s="3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72">
        <v>43718.0</v>
      </c>
      <c r="B238" s="8"/>
      <c r="C238" s="8"/>
      <c r="D238" s="8"/>
      <c r="E238" s="8"/>
      <c r="F238" s="8">
        <f>-sum(13.8,4.55,11.1,38.95)</f>
        <v>-68.4</v>
      </c>
      <c r="G238" s="8"/>
      <c r="H238" s="8"/>
      <c r="I238" s="8"/>
      <c r="J238" s="8"/>
      <c r="K238" s="8"/>
      <c r="L238" s="30"/>
      <c r="M238" s="3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72">
        <v>43719.0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30"/>
      <c r="M239" s="3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72">
        <v>43720.0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30"/>
      <c r="M240" s="3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72">
        <v>43721.0</v>
      </c>
      <c r="B241" s="8"/>
      <c r="C241" s="8"/>
      <c r="D241" s="8"/>
      <c r="E241" s="29">
        <v>-41.15</v>
      </c>
      <c r="F241" s="29">
        <f>-sum(-17.5,3.5,6.5)</f>
        <v>7.5</v>
      </c>
      <c r="G241" s="8"/>
      <c r="H241" s="8"/>
      <c r="I241" s="8"/>
      <c r="J241" s="8"/>
      <c r="K241" s="8"/>
      <c r="L241" s="30"/>
      <c r="M241" s="3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72">
        <v>43722.0</v>
      </c>
      <c r="B242" s="8"/>
      <c r="C242" s="8"/>
      <c r="D242" s="8"/>
      <c r="E242" s="8"/>
      <c r="F242" s="8">
        <f>-sum(11,8,13.95,44.35,58.85,11.4)</f>
        <v>-147.55</v>
      </c>
      <c r="G242" s="8"/>
      <c r="H242" s="8"/>
      <c r="I242" s="8"/>
      <c r="J242" s="8"/>
      <c r="K242" s="8"/>
      <c r="L242" s="30"/>
      <c r="M242" s="3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72">
        <v>43723.0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30"/>
      <c r="M243" s="3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72">
        <v>43724.0</v>
      </c>
      <c r="B244" s="8"/>
      <c r="C244" s="8"/>
      <c r="D244" s="8"/>
      <c r="E244" s="29">
        <v>-35.55</v>
      </c>
      <c r="F244" s="8"/>
      <c r="G244" s="8"/>
      <c r="H244" s="8"/>
      <c r="I244" s="8"/>
      <c r="J244" s="8"/>
      <c r="K244" s="8"/>
      <c r="L244" s="30"/>
      <c r="M244" s="3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72">
        <v>43725.0</v>
      </c>
      <c r="B245" s="8"/>
      <c r="C245" s="8"/>
      <c r="D245" s="8"/>
      <c r="E245" s="8"/>
      <c r="F245" s="29">
        <v>-6.5</v>
      </c>
      <c r="G245" s="8"/>
      <c r="H245" s="8"/>
      <c r="I245" s="8"/>
      <c r="J245" s="8"/>
      <c r="K245" s="8"/>
      <c r="L245" s="30"/>
      <c r="M245" s="3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72">
        <v>43726.0</v>
      </c>
      <c r="B246" s="8"/>
      <c r="C246" s="8"/>
      <c r="D246" s="8"/>
      <c r="E246" s="8"/>
      <c r="F246" s="8">
        <f>-sum(34.6,12.9)</f>
        <v>-47.5</v>
      </c>
      <c r="G246" s="8"/>
      <c r="H246" s="8"/>
      <c r="I246" s="8"/>
      <c r="J246" s="8"/>
      <c r="K246" s="8"/>
      <c r="L246" s="30"/>
      <c r="M246" s="3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72">
        <v>43727.0</v>
      </c>
      <c r="B247" s="8"/>
      <c r="C247" s="8"/>
      <c r="D247" s="8"/>
      <c r="E247" s="8"/>
      <c r="F247" s="29">
        <v>-10.0</v>
      </c>
      <c r="G247" s="8"/>
      <c r="H247" s="8"/>
      <c r="I247" s="8"/>
      <c r="J247" s="8"/>
      <c r="K247" s="8"/>
      <c r="L247" s="30"/>
      <c r="M247" s="3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72">
        <v>43728.0</v>
      </c>
      <c r="B248" s="8"/>
      <c r="C248" s="8"/>
      <c r="D248" s="8"/>
      <c r="E248" s="8"/>
      <c r="F248" s="29">
        <f>-sum(8,1.25,2.7,19.98,17.48,3.35,38)</f>
        <v>-90.76</v>
      </c>
      <c r="G248" s="8"/>
      <c r="H248" s="8"/>
      <c r="I248" s="8"/>
      <c r="J248" s="8"/>
      <c r="K248" s="8"/>
      <c r="L248" s="30"/>
      <c r="M248" s="3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72">
        <v>43729.0</v>
      </c>
      <c r="B249" s="8"/>
      <c r="C249" s="8"/>
      <c r="D249" s="8"/>
      <c r="E249" s="29">
        <v>-64.3</v>
      </c>
      <c r="F249" s="8">
        <f>-sum(13.32,25,3.5,16,39.31)</f>
        <v>-97.13</v>
      </c>
      <c r="G249" s="8"/>
      <c r="H249" s="8"/>
      <c r="I249" s="8"/>
      <c r="J249" s="8"/>
      <c r="K249" s="8"/>
      <c r="L249" s="30"/>
      <c r="M249" s="3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72">
        <v>43730.0</v>
      </c>
      <c r="B250" s="8"/>
      <c r="C250" s="8"/>
      <c r="D250" s="8"/>
      <c r="E250" s="8"/>
      <c r="F250" s="8">
        <f>-sum(10.5,5.6,40.7,21.06)</f>
        <v>-77.86</v>
      </c>
      <c r="G250" s="8"/>
      <c r="H250" s="8"/>
      <c r="I250" s="8"/>
      <c r="J250" s="8"/>
      <c r="K250" s="8"/>
      <c r="L250" s="30"/>
      <c r="M250" s="3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72">
        <v>43731.0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30"/>
      <c r="M251" s="3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72">
        <v>43732.0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30"/>
      <c r="M252" s="3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72">
        <v>43733.0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30"/>
      <c r="M253" s="3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72">
        <v>43734.0</v>
      </c>
      <c r="B254" s="8"/>
      <c r="C254" s="8"/>
      <c r="D254" s="8"/>
      <c r="E254" s="8"/>
      <c r="F254" s="8">
        <f>-sum(6,14.55,12.25,37.45,5.55)</f>
        <v>-75.8</v>
      </c>
      <c r="G254" s="8"/>
      <c r="H254" s="8"/>
      <c r="I254" s="8"/>
      <c r="J254" s="8"/>
      <c r="K254" s="8"/>
      <c r="L254" s="30"/>
      <c r="M254" s="3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72">
        <v>43735.0</v>
      </c>
      <c r="B255" s="8"/>
      <c r="C255" s="8"/>
      <c r="D255" s="8"/>
      <c r="E255" s="8"/>
      <c r="F255" s="29">
        <v>-11.45</v>
      </c>
      <c r="G255" s="8"/>
      <c r="H255" s="8"/>
      <c r="I255" s="8"/>
      <c r="J255" s="8"/>
      <c r="K255" s="8"/>
      <c r="L255" s="30"/>
      <c r="M255" s="3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72">
        <v>43736.0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30"/>
      <c r="M256" s="3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72">
        <v>43737.0</v>
      </c>
      <c r="B257" s="8"/>
      <c r="C257" s="8"/>
      <c r="D257" s="8"/>
      <c r="E257" s="8"/>
      <c r="G257" s="8"/>
      <c r="H257" s="8"/>
      <c r="I257" s="8"/>
      <c r="J257" s="8"/>
      <c r="K257" s="8"/>
      <c r="L257" s="30"/>
      <c r="M257" s="3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72">
        <v>43738.0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30"/>
      <c r="M258" s="3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72">
        <v>43739.0</v>
      </c>
      <c r="B259" s="8"/>
      <c r="C259" s="8"/>
      <c r="D259" s="8"/>
      <c r="E259" s="8"/>
      <c r="F259" s="8">
        <f>-sum(72.5,20,29.8,469.79,11.55,107.34)</f>
        <v>-710.98</v>
      </c>
      <c r="G259" s="8"/>
      <c r="H259" s="8"/>
      <c r="I259" s="8"/>
      <c r="J259" s="8"/>
      <c r="K259" s="8"/>
      <c r="L259" s="30"/>
      <c r="M259" s="3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72">
        <v>43740.0</v>
      </c>
      <c r="B260" s="8"/>
      <c r="C260" s="8"/>
      <c r="D260" s="8"/>
      <c r="E260" s="29">
        <v>-54.74</v>
      </c>
      <c r="F260" s="8">
        <f>-sum(40.32,5.9,3.1,9.95,18)</f>
        <v>-77.27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72">
        <v>43741.0</v>
      </c>
      <c r="B261" s="8"/>
      <c r="C261" s="8"/>
      <c r="D261" s="8"/>
      <c r="E261" s="8"/>
      <c r="F261" s="29">
        <f>-sum(9.75,17.12)</f>
        <v>-26.87</v>
      </c>
      <c r="G261" s="8"/>
      <c r="H261" s="8"/>
      <c r="I261" s="8"/>
      <c r="J261" s="29">
        <v>-144.96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72">
        <v>43742.0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72">
        <v>43743.0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72">
        <v>43744.0</v>
      </c>
      <c r="B264" s="8"/>
      <c r="C264" s="8"/>
      <c r="D264" s="8"/>
      <c r="E264" s="8"/>
      <c r="F264" s="29">
        <v>-35.0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72">
        <v>43745.0</v>
      </c>
      <c r="B265" s="8"/>
      <c r="C265" s="8"/>
      <c r="D265" s="8"/>
      <c r="E265" s="8"/>
      <c r="F265" s="29">
        <v>-12.8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72">
        <v>43746.0</v>
      </c>
      <c r="B266" s="8"/>
      <c r="C266" s="8"/>
      <c r="D266" s="8"/>
      <c r="E266" s="8"/>
      <c r="F266" s="29">
        <f>-sum(34.3,5.4,4.7,4.05,10.25,3.32,1.6,3.05,2.8)</f>
        <v>-69.47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72">
        <v>43747.0</v>
      </c>
      <c r="B267" s="8"/>
      <c r="C267" s="8"/>
      <c r="D267" s="8"/>
      <c r="E267" s="29">
        <v>-52.8</v>
      </c>
      <c r="F267" s="29">
        <v>-30.35</v>
      </c>
      <c r="G267" s="8"/>
      <c r="H267" s="8"/>
      <c r="I267" s="8"/>
      <c r="J267" s="8"/>
      <c r="K267" s="29">
        <v>-792.0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72">
        <v>43748.0</v>
      </c>
      <c r="B268" s="8"/>
      <c r="C268" s="8"/>
      <c r="D268" s="8"/>
      <c r="E268" s="8"/>
      <c r="F268" s="29">
        <v>-19.05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72">
        <v>43749.0</v>
      </c>
      <c r="B269" s="8"/>
      <c r="C269" s="8"/>
      <c r="D269" s="8"/>
      <c r="E269" s="8"/>
      <c r="F269" s="29">
        <f>-sum(11.5,52.2)</f>
        <v>-63.7</v>
      </c>
      <c r="G269" s="29">
        <v>-212.18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72">
        <v>43750.0</v>
      </c>
      <c r="B270" s="8"/>
      <c r="C270" s="8"/>
      <c r="D270" s="8"/>
      <c r="E270" s="8"/>
      <c r="F270" s="29">
        <v>257.0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72">
        <v>43751.0</v>
      </c>
      <c r="B271" s="8"/>
      <c r="C271" s="8"/>
      <c r="D271" s="8"/>
      <c r="E271" s="8"/>
      <c r="F271" s="8">
        <f>-sum(72.58,7.3,31.68,2,10.14)</f>
        <v>-123.7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72">
        <v>43752.0</v>
      </c>
      <c r="B272" s="8"/>
      <c r="C272" s="8"/>
      <c r="D272" s="8"/>
      <c r="E272" s="8"/>
      <c r="F272" s="29">
        <v>-47.8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72">
        <v>43753.0</v>
      </c>
      <c r="B273" s="8"/>
      <c r="C273" s="8"/>
      <c r="D273" s="8"/>
      <c r="E273" s="29">
        <v>-55.08</v>
      </c>
      <c r="F273" s="8">
        <f>-sum(38.19,12.1,5.9)</f>
        <v>-56.19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72">
        <v>43754.0</v>
      </c>
      <c r="B274" s="8"/>
      <c r="C274" s="8"/>
      <c r="D274" s="8"/>
      <c r="E274" s="8"/>
      <c r="F274" s="29">
        <f>-sum(15,2.57,17.08)</f>
        <v>-34.65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72">
        <v>43755.0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72">
        <v>43756.0</v>
      </c>
      <c r="B276" s="8"/>
      <c r="C276" s="8"/>
      <c r="D276" s="8"/>
      <c r="E276" s="8"/>
      <c r="F276" s="29">
        <v>-31.9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72">
        <v>43757.0</v>
      </c>
      <c r="B277" s="8"/>
      <c r="C277" s="8"/>
      <c r="D277" s="8"/>
      <c r="E277" s="8"/>
      <c r="F277" s="29">
        <v>-40.11</v>
      </c>
      <c r="G277" s="29">
        <v>226.11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72">
        <v>43758.0</v>
      </c>
      <c r="B278" s="8"/>
      <c r="C278" s="8"/>
      <c r="D278" s="8"/>
      <c r="E278" s="8"/>
      <c r="F278" s="8">
        <f>-sum(4,9,36,22.4)</f>
        <v>-71.4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72">
        <v>43759.0</v>
      </c>
      <c r="B279" s="8"/>
      <c r="C279" s="8"/>
      <c r="D279" s="8"/>
      <c r="E279" s="29">
        <v>-53.39</v>
      </c>
      <c r="F279" s="29">
        <v>-11.5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72">
        <v>43760.0</v>
      </c>
      <c r="B280" s="8"/>
      <c r="C280" s="8"/>
      <c r="D280" s="8"/>
      <c r="E280" s="8"/>
      <c r="F280" s="29">
        <v>-23.92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72">
        <v>43761.0</v>
      </c>
      <c r="B281" s="8"/>
      <c r="C281" s="8"/>
      <c r="D281" s="8"/>
      <c r="E281" s="8"/>
      <c r="F281" s="8">
        <f>-sum(9.9,10,144.06,5.8,12.18)</f>
        <v>-181.94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72">
        <v>43762.0</v>
      </c>
      <c r="B282" s="8"/>
      <c r="C282" s="8"/>
      <c r="D282" s="8"/>
      <c r="E282" s="8"/>
      <c r="F282" s="29">
        <f>-sum(14.4,26.95,12.2,2.5)</f>
        <v>-56.05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72">
        <v>43763.0</v>
      </c>
      <c r="B283" s="8"/>
      <c r="C283" s="8"/>
      <c r="D283" s="8"/>
      <c r="E283" s="8"/>
      <c r="F283" s="8">
        <f>-sum(3.8,11.5)</f>
        <v>-15.3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72">
        <v>43764.0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72">
        <v>43765.0</v>
      </c>
      <c r="B285" s="8"/>
      <c r="C285" s="8"/>
      <c r="D285" s="8"/>
      <c r="E285" s="8"/>
      <c r="F285" s="29">
        <v>-10.5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72">
        <v>43766.0</v>
      </c>
      <c r="B286" s="8"/>
      <c r="C286" s="8"/>
      <c r="D286" s="8"/>
      <c r="E286" s="29">
        <v>-25.54</v>
      </c>
      <c r="F286" s="29">
        <f>-sum(14.88,21.3)</f>
        <v>-36.18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72">
        <v>43767.0</v>
      </c>
      <c r="B287" s="8"/>
      <c r="C287" s="8"/>
      <c r="D287" s="8"/>
      <c r="E287" s="8"/>
      <c r="F287" s="29">
        <v>38.16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72">
        <v>43768.0</v>
      </c>
      <c r="B288" s="8"/>
      <c r="C288" s="8"/>
      <c r="D288" s="8"/>
      <c r="E288" s="8"/>
      <c r="F288" s="29">
        <f>-sum(14.01,5,6.95,2.95,50)</f>
        <v>-78.91</v>
      </c>
      <c r="G288" s="8"/>
      <c r="H288" s="8"/>
      <c r="I288" s="8"/>
      <c r="J288" s="8"/>
      <c r="K288" s="29">
        <v>-1131.65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72">
        <v>43769.0</v>
      </c>
      <c r="B289" s="8"/>
      <c r="C289" s="8"/>
      <c r="D289" s="8"/>
      <c r="E289" s="8"/>
      <c r="F289" s="29">
        <f>-sum(12,7.4,4.55,13.69,37.03,5.7,40.71)</f>
        <v>-121.08</v>
      </c>
      <c r="G289" s="8"/>
      <c r="H289" s="8"/>
      <c r="I289" s="8"/>
      <c r="J289" s="29">
        <v>-82.58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29">
        <v>-99.0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8"/>
      <c r="B291" s="8"/>
      <c r="C291" s="8"/>
      <c r="D291" s="8"/>
      <c r="E291" s="29">
        <v>-57.78</v>
      </c>
      <c r="F291" s="8">
        <f>-sum(0.75,33.6,9.4)</f>
        <v>-43.75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8"/>
      <c r="B292" s="8"/>
      <c r="C292" s="8"/>
      <c r="D292" s="8"/>
      <c r="E292" s="8"/>
      <c r="F292" s="29">
        <f>-sum(12.84,14.74)</f>
        <v>-27.58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8"/>
      <c r="B293" s="8"/>
      <c r="C293" s="8"/>
      <c r="D293" s="8"/>
      <c r="E293" s="8"/>
      <c r="F293" s="29">
        <v>17.15</v>
      </c>
      <c r="G293" s="29">
        <v>-35.0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8"/>
      <c r="B294" s="8"/>
      <c r="C294" s="8"/>
      <c r="D294" s="8"/>
      <c r="E294" s="8"/>
      <c r="F294" s="29">
        <v>-112.8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8"/>
      <c r="B295" s="8"/>
      <c r="C295" s="8"/>
      <c r="D295" s="8"/>
      <c r="E295" s="8"/>
      <c r="F295" s="29">
        <f>-sum(47.98,2.5,2.99,6)</f>
        <v>-59.47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8"/>
      <c r="B296" s="8"/>
      <c r="C296" s="8"/>
      <c r="D296" s="8"/>
      <c r="E296" s="29">
        <v>-20.0</v>
      </c>
      <c r="F296" s="29">
        <f>-sum(11.95,10.1,33.78)</f>
        <v>-55.83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8"/>
      <c r="B297" s="8"/>
      <c r="C297" s="8"/>
      <c r="D297" s="8"/>
      <c r="E297" s="8"/>
      <c r="F297" s="29">
        <f>-sum(3.3,18)</f>
        <v>-21.3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8"/>
      <c r="B298" s="8"/>
      <c r="C298" s="8"/>
      <c r="D298" s="8"/>
      <c r="E298" s="29">
        <v>-53.3</v>
      </c>
      <c r="F298" s="8">
        <f>-sum(29.11,38.8)</f>
        <v>-67.91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8"/>
      <c r="B299" s="8"/>
      <c r="C299" s="8"/>
      <c r="D299" s="8"/>
      <c r="E299" s="8"/>
      <c r="F299" s="29">
        <f>-sum(20.15,34.85)</f>
        <v>-55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8"/>
      <c r="B300" s="8"/>
      <c r="C300" s="8"/>
      <c r="D300" s="8"/>
      <c r="E300" s="8"/>
      <c r="F300" s="29">
        <v>-6.5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8"/>
      <c r="B301" s="8"/>
      <c r="C301" s="8"/>
      <c r="D301" s="8"/>
      <c r="E301" s="8"/>
      <c r="F301" s="8">
        <f>-sum(29.48,119.96)</f>
        <v>-149.44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8"/>
      <c r="B302" s="8"/>
      <c r="C302" s="8"/>
      <c r="D302" s="8"/>
      <c r="E302" s="8"/>
      <c r="F302" s="8">
        <f>-sum(16.4,9.5,10.33,52.6,36.26)</f>
        <v>-125.09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8"/>
      <c r="B303" s="8"/>
      <c r="C303" s="8"/>
      <c r="D303" s="8"/>
      <c r="E303" s="29">
        <v>-5.0</v>
      </c>
      <c r="F303" s="8">
        <f>-sum(13.85,14.01)</f>
        <v>-27.86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8"/>
      <c r="B304" s="8"/>
      <c r="C304" s="8"/>
      <c r="D304" s="8"/>
      <c r="E304" s="29">
        <v>-43.4</v>
      </c>
      <c r="F304" s="29">
        <v>-10.0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8"/>
      <c r="B305" s="8"/>
      <c r="C305" s="8"/>
      <c r="D305" s="8"/>
      <c r="E305" s="8"/>
      <c r="F305" s="8">
        <f>-sum(33.55)</f>
        <v>-33.55</v>
      </c>
      <c r="G305" s="8"/>
      <c r="H305" s="8"/>
      <c r="I305" s="8"/>
      <c r="J305" s="29">
        <v>-56.97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8"/>
      <c r="B306" s="8"/>
      <c r="C306" s="8"/>
      <c r="D306" s="8"/>
      <c r="E306" s="29">
        <v>-5.0</v>
      </c>
      <c r="F306" s="29">
        <f>-sum(13.8,20.4)</f>
        <v>-34.2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8"/>
      <c r="B307" s="8"/>
      <c r="C307" s="8"/>
      <c r="D307" s="8"/>
      <c r="E307" s="8"/>
      <c r="F307" s="29">
        <f>-sum(33,77.72)</f>
        <v>-110.72</v>
      </c>
      <c r="G307" s="29">
        <v>-834.8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8"/>
      <c r="B308" s="8"/>
      <c r="C308" s="8"/>
      <c r="D308" s="8"/>
      <c r="E308" s="29">
        <v>-57.6</v>
      </c>
      <c r="F308" s="29">
        <v>-9.3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8"/>
      <c r="B309" s="8"/>
      <c r="C309" s="8"/>
      <c r="D309" s="8"/>
      <c r="E309" s="29">
        <v>-51.25</v>
      </c>
      <c r="F309" s="8"/>
      <c r="G309" s="29">
        <v>-107.72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8"/>
      <c r="B310" s="8"/>
      <c r="C310" s="8"/>
      <c r="D310" s="8"/>
      <c r="E310" s="8"/>
      <c r="F310" s="29">
        <v>-17.05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8"/>
      <c r="B311" s="8"/>
      <c r="C311" s="8"/>
      <c r="D311" s="8"/>
      <c r="E311" s="8"/>
      <c r="F311" s="29">
        <v>-29.82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26">
        <v>43800.0</v>
      </c>
      <c r="B312" s="8"/>
      <c r="C312" s="8"/>
      <c r="D312" s="8"/>
      <c r="E312" s="8"/>
      <c r="F312" s="8">
        <f>-sum(12.05,28.2)</f>
        <v>-40.25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26">
        <v>43801.0</v>
      </c>
      <c r="B313" s="8"/>
      <c r="C313" s="8"/>
      <c r="D313" s="8"/>
      <c r="E313" s="29">
        <v>-45.0</v>
      </c>
      <c r="F313" s="8">
        <f>-sum(6.41,4.68,11.9)</f>
        <v>-22.99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26">
        <v>43802.0</v>
      </c>
      <c r="B314" s="8"/>
      <c r="C314" s="8"/>
      <c r="D314" s="8"/>
      <c r="E314" s="8"/>
      <c r="F314" s="29">
        <v>-26.8</v>
      </c>
      <c r="G314" s="29">
        <v>-35.0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26">
        <v>43803.0</v>
      </c>
      <c r="B315" s="8"/>
      <c r="C315" s="8"/>
      <c r="D315" s="8"/>
      <c r="E315" s="29">
        <v>-5.0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26">
        <v>43804.0</v>
      </c>
      <c r="B316" s="8"/>
      <c r="C316" s="8"/>
      <c r="D316" s="8"/>
      <c r="E316" s="8"/>
      <c r="F316" s="8">
        <f>-sum(26.82,2,5.6,14.01,8.8,2)</f>
        <v>-59.23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26">
        <v>43805.0</v>
      </c>
      <c r="B317" s="8"/>
      <c r="C317" s="8"/>
      <c r="D317" s="8"/>
      <c r="E317" s="8"/>
      <c r="F317" s="8">
        <f>-sum(11.8,28.46,5.6)</f>
        <v>-45.86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26">
        <v>43806.0</v>
      </c>
      <c r="B318" s="8"/>
      <c r="C318" s="8"/>
      <c r="D318" s="8"/>
      <c r="E318" s="29">
        <v>-36.16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26">
        <v>43807.0</v>
      </c>
      <c r="B319" s="8"/>
      <c r="C319" s="8"/>
      <c r="D319" s="8"/>
      <c r="E319" s="8"/>
      <c r="F319" s="8">
        <f>-sum(29.8,14.4,16.2,2.8,38.95,24,24)</f>
        <v>-150.15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26">
        <v>43808.0</v>
      </c>
      <c r="B320" s="8"/>
      <c r="C320" s="8"/>
      <c r="D320" s="8"/>
      <c r="E320" s="29">
        <v>-26.62</v>
      </c>
      <c r="F320" s="8">
        <f>-sum(21.97,55.15)</f>
        <v>-77.12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26">
        <v>43809.0</v>
      </c>
      <c r="B321" s="8"/>
      <c r="C321" s="8"/>
      <c r="D321" s="8"/>
      <c r="E321" s="29">
        <v>-5.0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26">
        <v>43810.0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26">
        <v>43811.0</v>
      </c>
      <c r="B323" s="8"/>
      <c r="C323" s="8"/>
      <c r="D323" s="8"/>
      <c r="E323" s="8"/>
      <c r="F323" s="8">
        <f>-sum(25,14.01)</f>
        <v>-39.01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26">
        <v>43812.0</v>
      </c>
      <c r="B324" s="8"/>
      <c r="C324" s="8"/>
      <c r="D324" s="8"/>
      <c r="E324" s="29">
        <v>-5.0</v>
      </c>
      <c r="F324" s="29">
        <v>-6.5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26">
        <v>43813.0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26">
        <v>43814.0</v>
      </c>
      <c r="B326" s="8"/>
      <c r="C326" s="8"/>
      <c r="D326" s="8"/>
      <c r="E326" s="29">
        <v>-48.72</v>
      </c>
      <c r="F326" s="29">
        <f>-sum(5.75,24.2,26.96)</f>
        <v>-56.91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26">
        <v>43815.0</v>
      </c>
      <c r="B327" s="8"/>
      <c r="C327" s="8"/>
      <c r="D327" s="8"/>
      <c r="E327" s="8"/>
      <c r="F327" s="8">
        <f>-sum(25,42.46,59.16,30.59,9.34)</f>
        <v>-166.55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26">
        <v>43816.0</v>
      </c>
      <c r="B328" s="8"/>
      <c r="C328" s="8"/>
      <c r="D328" s="8"/>
      <c r="E328" s="29">
        <v>-5.0</v>
      </c>
      <c r="F328" s="8">
        <f>-sum(13.9,15)</f>
        <v>-28.9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26">
        <v>43817.0</v>
      </c>
      <c r="B329" s="8"/>
      <c r="C329" s="8"/>
      <c r="D329" s="8"/>
      <c r="E329" s="8"/>
      <c r="F329" s="8">
        <f>-sum(4)</f>
        <v>-4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26">
        <v>43818.0</v>
      </c>
      <c r="B330" s="8"/>
      <c r="C330" s="8"/>
      <c r="D330" s="8"/>
      <c r="E330" s="29">
        <v>-4.0</v>
      </c>
      <c r="F330" s="8">
        <f>-sum(4.5,25.97,9.2,7.98,18.61)</f>
        <v>-66.26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26">
        <v>43819.0</v>
      </c>
      <c r="B331" s="8"/>
      <c r="C331" s="8"/>
      <c r="D331" s="8"/>
      <c r="E331" s="29">
        <v>-10.15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26">
        <v>43820.0</v>
      </c>
      <c r="B332" s="8"/>
      <c r="C332" s="8"/>
      <c r="D332" s="8"/>
      <c r="E332" s="29">
        <v>-10.15</v>
      </c>
      <c r="F332" s="29">
        <v>-10.9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26">
        <v>43821.0</v>
      </c>
      <c r="B333" s="8"/>
      <c r="C333" s="8"/>
      <c r="D333" s="8"/>
      <c r="E333" s="29">
        <v>-5.0</v>
      </c>
      <c r="F333" s="29">
        <v>-20.18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26">
        <v>43822.0</v>
      </c>
      <c r="B334" s="8"/>
      <c r="C334" s="8"/>
      <c r="D334" s="8"/>
      <c r="E334" s="29">
        <v>-5.0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26">
        <v>43823.0</v>
      </c>
      <c r="B335" s="8"/>
      <c r="C335" s="8"/>
      <c r="D335" s="8"/>
      <c r="E335" s="29">
        <v>-43.3</v>
      </c>
      <c r="F335" s="8">
        <f>-sum(4.2,5,7.9,4.2,17.99,34.98,53.2)</f>
        <v>-127.47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26">
        <v>43824.0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26">
        <v>43825.0</v>
      </c>
      <c r="B337" s="8"/>
      <c r="C337" s="8"/>
      <c r="D337" s="8"/>
      <c r="E337" s="8"/>
      <c r="F337" s="29">
        <v>-28.0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26">
        <v>43826.0</v>
      </c>
      <c r="B338" s="8"/>
      <c r="C338" s="8"/>
      <c r="D338" s="8"/>
      <c r="E338" s="29">
        <f>-sum(5,50,20)</f>
        <v>-75</v>
      </c>
      <c r="F338" s="29">
        <f>-sum(11.9,15.9)</f>
        <v>-27.8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26">
        <v>43827.0</v>
      </c>
      <c r="B339" s="8"/>
      <c r="C339" s="8"/>
      <c r="D339" s="8"/>
      <c r="E339" s="8"/>
      <c r="F339" s="8">
        <f>-sum(2.9,13,27.75,17,11,15.97)</f>
        <v>-87.62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26">
        <v>43828.0</v>
      </c>
      <c r="B340" s="8"/>
      <c r="C340" s="8"/>
      <c r="D340" s="8"/>
      <c r="E340" s="8"/>
      <c r="F340" s="29">
        <v>-29.62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26">
        <v>43829.0</v>
      </c>
      <c r="B341" s="8"/>
      <c r="C341" s="8"/>
      <c r="D341" s="8"/>
      <c r="E341" s="8"/>
      <c r="F341" s="8">
        <f>-sum(169,4.1,8.4)</f>
        <v>-181.5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26">
        <v>43830.0</v>
      </c>
      <c r="B342" s="8"/>
      <c r="C342" s="8"/>
      <c r="D342" s="8"/>
      <c r="E342" s="29">
        <v>-42.46</v>
      </c>
      <c r="F342" s="8">
        <f>-sum(20.1,34,-13.3)</f>
        <v>-40.8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</sheetData>
  <mergeCells count="3">
    <mergeCell ref="L1:M1"/>
    <mergeCell ref="N49:N51"/>
    <mergeCell ref="N54:N56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5" max="5" width="28.0"/>
  </cols>
  <sheetData>
    <row r="1">
      <c r="A1" s="7" t="s">
        <v>1</v>
      </c>
      <c r="B1" s="8"/>
      <c r="C1" s="8"/>
      <c r="D1" s="7" t="s">
        <v>76</v>
      </c>
      <c r="E1" s="73">
        <f>sum(E2:E1003)</f>
        <v>33336.27</v>
      </c>
    </row>
    <row r="2">
      <c r="A2" s="29" t="s">
        <v>77</v>
      </c>
      <c r="B2" s="29">
        <f>sum(42.63,-19)</f>
        <v>23.63</v>
      </c>
      <c r="C2" s="29"/>
      <c r="D2" s="29" t="s">
        <v>21</v>
      </c>
      <c r="E2" s="74">
        <f>SUM(B2:B5,'2019_1'!M16,234)</f>
        <v>399.46</v>
      </c>
    </row>
    <row r="3">
      <c r="A3" s="26">
        <v>43578.0</v>
      </c>
      <c r="B3" s="29">
        <v>25.13</v>
      </c>
      <c r="C3" s="29" t="s">
        <v>8</v>
      </c>
      <c r="D3" s="8"/>
      <c r="E3" s="8"/>
    </row>
    <row r="4">
      <c r="A4" s="29" t="s">
        <v>78</v>
      </c>
      <c r="B4" s="29">
        <v>41.31</v>
      </c>
      <c r="C4" s="29"/>
      <c r="D4" s="8"/>
      <c r="E4" s="8"/>
    </row>
    <row r="5">
      <c r="A5" s="26">
        <v>43593.0</v>
      </c>
      <c r="B5" s="29">
        <v>75.39</v>
      </c>
      <c r="C5" s="29" t="s">
        <v>8</v>
      </c>
      <c r="D5" s="8"/>
      <c r="E5" s="29"/>
    </row>
    <row r="6">
      <c r="A6" s="26">
        <v>43621.0</v>
      </c>
      <c r="B6" s="29">
        <v>50.28</v>
      </c>
      <c r="C6" s="29" t="s">
        <v>8</v>
      </c>
      <c r="D6" s="8"/>
      <c r="E6" s="29" t="s">
        <v>79</v>
      </c>
    </row>
    <row r="7">
      <c r="A7" s="29" t="s">
        <v>80</v>
      </c>
      <c r="B7" s="29">
        <v>75.79</v>
      </c>
      <c r="C7" s="29"/>
      <c r="D7" s="29" t="s">
        <v>81</v>
      </c>
      <c r="E7" s="15">
        <f>sum(B6:B11,'2019_1'!M17)</f>
        <v>2180.07</v>
      </c>
    </row>
    <row r="8">
      <c r="A8" s="29" t="s">
        <v>82</v>
      </c>
      <c r="B8" s="29">
        <v>500.5</v>
      </c>
      <c r="C8" s="29" t="s">
        <v>83</v>
      </c>
    </row>
    <row r="9">
      <c r="A9" s="29" t="s">
        <v>84</v>
      </c>
      <c r="B9" s="29">
        <v>455.0</v>
      </c>
      <c r="C9" s="29" t="s">
        <v>83</v>
      </c>
      <c r="D9" s="8"/>
      <c r="E9" s="8"/>
    </row>
    <row r="10">
      <c r="A10" s="29" t="s">
        <v>85</v>
      </c>
      <c r="B10" s="29">
        <v>539.5</v>
      </c>
      <c r="C10" s="29" t="s">
        <v>83</v>
      </c>
      <c r="D10" s="8"/>
      <c r="E10" s="8"/>
    </row>
    <row r="11">
      <c r="A11" s="29" t="s">
        <v>86</v>
      </c>
      <c r="B11" s="29">
        <v>559.0</v>
      </c>
      <c r="C11" s="29" t="s">
        <v>83</v>
      </c>
      <c r="D11" s="8"/>
      <c r="E11" s="8"/>
    </row>
    <row r="12">
      <c r="A12" s="29" t="s">
        <v>87</v>
      </c>
      <c r="B12" s="29">
        <v>174.42</v>
      </c>
      <c r="C12" s="29"/>
      <c r="D12" s="29" t="s">
        <v>88</v>
      </c>
      <c r="E12" s="75">
        <f>sum(B12:B17,'2019_1'!M18)</f>
        <v>3153.86</v>
      </c>
    </row>
    <row r="13">
      <c r="A13" s="29" t="s">
        <v>89</v>
      </c>
      <c r="B13" s="29">
        <v>443.6</v>
      </c>
      <c r="C13" s="29" t="s">
        <v>83</v>
      </c>
      <c r="D13" s="8"/>
      <c r="E13" s="8"/>
    </row>
    <row r="14">
      <c r="A14" s="29" t="s">
        <v>90</v>
      </c>
      <c r="B14" s="29">
        <v>559.0</v>
      </c>
      <c r="C14" s="29" t="s">
        <v>83</v>
      </c>
      <c r="D14" s="8"/>
      <c r="E14" s="8"/>
    </row>
    <row r="15">
      <c r="A15" s="29" t="s">
        <v>91</v>
      </c>
      <c r="B15" s="29">
        <v>546.0</v>
      </c>
      <c r="C15" s="29" t="s">
        <v>83</v>
      </c>
      <c r="D15" s="8"/>
      <c r="E15" s="8"/>
    </row>
    <row r="16">
      <c r="A16" s="29" t="s">
        <v>91</v>
      </c>
      <c r="B16" s="29">
        <v>1053.84</v>
      </c>
      <c r="C16" s="29" t="s">
        <v>92</v>
      </c>
      <c r="D16" s="8"/>
      <c r="E16" s="8"/>
    </row>
    <row r="17">
      <c r="A17" s="29" t="s">
        <v>93</v>
      </c>
      <c r="B17" s="29">
        <v>377.0</v>
      </c>
      <c r="C17" s="29" t="s">
        <v>83</v>
      </c>
      <c r="D17" s="8"/>
      <c r="E17" s="8"/>
    </row>
    <row r="18">
      <c r="A18" s="29" t="s">
        <v>94</v>
      </c>
      <c r="B18" s="29">
        <v>197.54</v>
      </c>
      <c r="C18" s="8"/>
      <c r="D18" s="29" t="s">
        <v>95</v>
      </c>
      <c r="E18" s="75">
        <f>sum(B18:B24,'2019_1'!M19)</f>
        <v>5596</v>
      </c>
    </row>
    <row r="19">
      <c r="A19" s="29" t="s">
        <v>96</v>
      </c>
      <c r="B19" s="29">
        <v>1574.94</v>
      </c>
      <c r="C19" s="29" t="s">
        <v>92</v>
      </c>
      <c r="D19" s="8"/>
      <c r="E19" s="8"/>
    </row>
    <row r="20">
      <c r="A20" s="29" t="s">
        <v>96</v>
      </c>
      <c r="B20" s="29">
        <v>367.25</v>
      </c>
      <c r="C20" s="29" t="s">
        <v>83</v>
      </c>
      <c r="D20" s="8"/>
      <c r="E20" s="8"/>
    </row>
    <row r="21">
      <c r="A21" s="29" t="s">
        <v>97</v>
      </c>
      <c r="B21" s="29">
        <v>370.5</v>
      </c>
      <c r="C21" s="29" t="s">
        <v>83</v>
      </c>
      <c r="D21" s="8"/>
      <c r="E21" s="8"/>
    </row>
    <row r="22">
      <c r="A22" s="8"/>
      <c r="B22" s="29">
        <v>364.0</v>
      </c>
      <c r="C22" s="29" t="s">
        <v>83</v>
      </c>
      <c r="D22" s="8"/>
      <c r="E22" s="8"/>
    </row>
    <row r="23">
      <c r="A23" s="8"/>
      <c r="B23" s="29">
        <v>2357.77</v>
      </c>
      <c r="C23" s="29" t="s">
        <v>92</v>
      </c>
      <c r="D23" s="8"/>
      <c r="E23" s="8"/>
    </row>
    <row r="24">
      <c r="A24" s="8"/>
      <c r="B24" s="29">
        <v>364.0</v>
      </c>
      <c r="C24" s="8"/>
    </row>
    <row r="25">
      <c r="A25" s="29" t="s">
        <v>98</v>
      </c>
      <c r="B25" s="29">
        <v>487.0</v>
      </c>
      <c r="C25" s="8"/>
      <c r="D25" s="29" t="s">
        <v>98</v>
      </c>
      <c r="E25" s="75">
        <f>sum(B25:B28,'2019_1'!M20)</f>
        <v>3329.51</v>
      </c>
    </row>
    <row r="26">
      <c r="A26" s="29" t="s">
        <v>98</v>
      </c>
      <c r="B26" s="29">
        <v>1517.08</v>
      </c>
      <c r="C26" s="8"/>
      <c r="D26" s="8"/>
      <c r="E26" s="8"/>
    </row>
    <row r="27">
      <c r="A27" s="8"/>
      <c r="B27" s="29">
        <v>17.95</v>
      </c>
      <c r="C27" s="8"/>
      <c r="D27" s="8"/>
      <c r="E27" s="8"/>
    </row>
    <row r="28">
      <c r="A28" s="8"/>
      <c r="B28" s="29">
        <v>1307.48</v>
      </c>
      <c r="C28" s="8"/>
      <c r="D28" s="8"/>
      <c r="E28" s="8"/>
    </row>
    <row r="29">
      <c r="A29" s="29" t="s">
        <v>44</v>
      </c>
      <c r="B29" s="29">
        <v>161.33</v>
      </c>
      <c r="C29" s="29" t="s">
        <v>13</v>
      </c>
      <c r="D29" s="29" t="s">
        <v>44</v>
      </c>
      <c r="E29" s="75">
        <f>sum(B29:B36,'2019_1'!M21)</f>
        <v>5743.62</v>
      </c>
    </row>
    <row r="30">
      <c r="A30" s="8"/>
      <c r="B30" s="29">
        <v>1099.75</v>
      </c>
      <c r="C30" s="8"/>
      <c r="D30" s="8"/>
      <c r="E30" s="8"/>
    </row>
    <row r="31">
      <c r="A31" s="8"/>
      <c r="B31" s="29">
        <v>800.78</v>
      </c>
      <c r="C31" s="29" t="s">
        <v>99</v>
      </c>
      <c r="D31" s="8"/>
      <c r="E31" s="8"/>
    </row>
    <row r="32">
      <c r="A32" s="8"/>
      <c r="B32" s="29">
        <v>1119.7</v>
      </c>
      <c r="C32" s="8"/>
      <c r="D32" s="8"/>
      <c r="E32" s="8"/>
    </row>
    <row r="33">
      <c r="A33" s="8"/>
      <c r="B33" s="29">
        <v>643.56</v>
      </c>
      <c r="C33" s="29" t="s">
        <v>99</v>
      </c>
      <c r="D33" s="8"/>
      <c r="E33" s="8"/>
    </row>
    <row r="34">
      <c r="A34" s="8"/>
      <c r="B34" s="29">
        <v>55.0</v>
      </c>
      <c r="C34" s="29" t="s">
        <v>100</v>
      </c>
      <c r="D34" s="8"/>
      <c r="E34" s="8"/>
    </row>
    <row r="35">
      <c r="A35" s="8"/>
      <c r="B35" s="29">
        <v>1219.94</v>
      </c>
      <c r="C35" s="8"/>
      <c r="D35" s="8"/>
      <c r="E35" s="8"/>
    </row>
    <row r="36">
      <c r="A36" s="8"/>
      <c r="B36" s="29">
        <v>643.56</v>
      </c>
      <c r="C36" s="8"/>
      <c r="D36" s="8"/>
      <c r="E36" s="8"/>
    </row>
    <row r="37">
      <c r="A37" s="29" t="s">
        <v>45</v>
      </c>
      <c r="B37" s="29">
        <v>373.68</v>
      </c>
      <c r="C37" s="29" t="s">
        <v>13</v>
      </c>
      <c r="D37" s="29" t="s">
        <v>45</v>
      </c>
      <c r="E37" s="76">
        <f>sum(B37:B43,'2019_1'!M22)</f>
        <v>6299.52</v>
      </c>
    </row>
    <row r="38">
      <c r="A38" s="8"/>
      <c r="B38" s="29">
        <v>1075.34</v>
      </c>
      <c r="C38" s="29" t="s">
        <v>101</v>
      </c>
      <c r="D38" s="8"/>
      <c r="E38" s="8"/>
    </row>
    <row r="39">
      <c r="A39" s="8"/>
      <c r="B39" s="29">
        <v>668.78</v>
      </c>
      <c r="C39" s="29" t="s">
        <v>102</v>
      </c>
      <c r="D39" s="8"/>
      <c r="E39" s="8"/>
    </row>
    <row r="40">
      <c r="A40" s="8"/>
      <c r="B40" s="29">
        <v>1300.48</v>
      </c>
      <c r="C40" s="29" t="s">
        <v>92</v>
      </c>
      <c r="D40" s="8"/>
      <c r="E40" s="8"/>
    </row>
    <row r="41">
      <c r="A41" s="8"/>
      <c r="B41" s="29">
        <v>1079.92</v>
      </c>
      <c r="C41" s="29" t="s">
        <v>101</v>
      </c>
      <c r="D41" s="8"/>
      <c r="E41" s="8"/>
    </row>
    <row r="42">
      <c r="A42" s="8"/>
      <c r="B42" s="29">
        <v>668.78</v>
      </c>
      <c r="C42" s="29" t="s">
        <v>103</v>
      </c>
      <c r="D42" s="8"/>
      <c r="E42" s="8"/>
    </row>
    <row r="43">
      <c r="A43" s="8"/>
      <c r="B43" s="29">
        <v>1132.54</v>
      </c>
      <c r="C43" s="29" t="s">
        <v>92</v>
      </c>
      <c r="D43" s="8"/>
      <c r="E43" s="8"/>
    </row>
    <row r="44">
      <c r="A44" s="29" t="s">
        <v>46</v>
      </c>
      <c r="B44" s="29">
        <f>SUM(356.93,19.18)</f>
        <v>376.11</v>
      </c>
      <c r="C44" s="29" t="s">
        <v>13</v>
      </c>
      <c r="D44" s="29" t="s">
        <v>46</v>
      </c>
      <c r="E44" s="77">
        <f>sum(B44:B51,'2019_1'!M23)</f>
        <v>6634.23</v>
      </c>
    </row>
    <row r="45">
      <c r="A45" s="8"/>
      <c r="B45" s="29">
        <v>429.45</v>
      </c>
      <c r="C45" s="29" t="s">
        <v>101</v>
      </c>
      <c r="D45" s="8"/>
      <c r="E45" s="8"/>
    </row>
    <row r="46">
      <c r="A46" s="8"/>
      <c r="B46" s="29">
        <v>1214.59</v>
      </c>
      <c r="C46" s="29" t="s">
        <v>92</v>
      </c>
      <c r="D46" s="8"/>
      <c r="E46" s="8"/>
    </row>
    <row r="47">
      <c r="A47" s="8"/>
      <c r="B47" s="29">
        <v>668.78</v>
      </c>
      <c r="C47" s="29" t="s">
        <v>104</v>
      </c>
      <c r="D47" s="8"/>
      <c r="E47" s="8"/>
    </row>
    <row r="48">
      <c r="A48" s="8"/>
      <c r="B48" s="29">
        <v>841.19</v>
      </c>
      <c r="C48" s="29" t="s">
        <v>101</v>
      </c>
      <c r="D48" s="8"/>
      <c r="E48" s="8"/>
    </row>
    <row r="49">
      <c r="A49" s="8"/>
      <c r="B49" s="29">
        <v>1320.18</v>
      </c>
      <c r="C49" s="29" t="s">
        <v>92</v>
      </c>
      <c r="D49" s="8"/>
      <c r="E49" s="8"/>
      <c r="G49">
        <f>sum(B37,B44,B29,B18,B12)</f>
        <v>1283.08</v>
      </c>
    </row>
    <row r="50">
      <c r="A50" s="8"/>
      <c r="B50" s="29">
        <v>668.78</v>
      </c>
      <c r="C50" s="29" t="s">
        <v>104</v>
      </c>
      <c r="D50" s="8"/>
      <c r="E50" s="8"/>
    </row>
    <row r="51">
      <c r="A51" s="8"/>
      <c r="B51" s="29">
        <v>1115.15</v>
      </c>
      <c r="C51" s="29" t="s">
        <v>101</v>
      </c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  <row r="1001">
      <c r="A1001" s="8"/>
      <c r="B1001" s="8"/>
      <c r="C1001" s="8"/>
      <c r="D1001" s="8"/>
      <c r="E1001" s="8"/>
    </row>
    <row r="1002">
      <c r="A1002" s="8"/>
      <c r="B1002" s="8"/>
      <c r="C1002" s="8"/>
      <c r="D1002" s="8"/>
      <c r="E1002" s="8"/>
    </row>
    <row r="1003">
      <c r="A1003" s="8"/>
      <c r="B1003" s="8"/>
      <c r="C1003" s="8"/>
      <c r="D1003" s="8"/>
      <c r="E1003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0.5"/>
    <col customWidth="1" min="2" max="3" width="38.38"/>
  </cols>
  <sheetData>
    <row r="1">
      <c r="A1" s="78" t="s">
        <v>105</v>
      </c>
      <c r="B1" s="78" t="s">
        <v>106</v>
      </c>
      <c r="C1" s="78" t="s">
        <v>0</v>
      </c>
      <c r="D1" s="78" t="s">
        <v>35</v>
      </c>
      <c r="E1" s="79" t="s">
        <v>2</v>
      </c>
      <c r="F1" s="78" t="s">
        <v>3</v>
      </c>
      <c r="G1" s="78" t="s">
        <v>4</v>
      </c>
      <c r="H1" s="78" t="s">
        <v>5</v>
      </c>
      <c r="I1" s="78" t="s">
        <v>6</v>
      </c>
      <c r="J1" s="78" t="s">
        <v>7</v>
      </c>
      <c r="K1" s="78" t="s">
        <v>8</v>
      </c>
      <c r="L1" s="78" t="s">
        <v>9</v>
      </c>
      <c r="M1" s="78" t="s">
        <v>10</v>
      </c>
      <c r="N1" s="80" t="s">
        <v>14</v>
      </c>
      <c r="O1" s="80" t="s">
        <v>15</v>
      </c>
      <c r="P1" s="80" t="s">
        <v>16</v>
      </c>
      <c r="Q1" s="80" t="s">
        <v>107</v>
      </c>
    </row>
    <row r="2">
      <c r="A2" s="29">
        <v>2020.0</v>
      </c>
      <c r="B2" s="29">
        <v>1.0</v>
      </c>
      <c r="C2" s="8">
        <v>-2325.08</v>
      </c>
      <c r="D2" s="81">
        <v>5800.0</v>
      </c>
      <c r="E2">
        <v>3474.92</v>
      </c>
      <c r="F2">
        <v>-342.31</v>
      </c>
      <c r="G2">
        <v>-1731.65</v>
      </c>
      <c r="H2">
        <v>-251.12</v>
      </c>
      <c r="J2">
        <v>0.0</v>
      </c>
      <c r="K2">
        <v>0.0</v>
      </c>
      <c r="L2">
        <v>0.0</v>
      </c>
      <c r="M2">
        <v>0.0</v>
      </c>
      <c r="N2" s="82">
        <v>1697.52</v>
      </c>
      <c r="O2" s="29">
        <f>SUM(1645.22,1119.7)</f>
        <v>2764.92</v>
      </c>
      <c r="P2" s="29">
        <f>sum(668.78*2)</f>
        <v>1337.56</v>
      </c>
      <c r="Q2" s="8"/>
    </row>
    <row r="3">
      <c r="A3" s="29">
        <v>2020.0</v>
      </c>
      <c r="B3" s="29">
        <v>2.0</v>
      </c>
      <c r="C3" s="8">
        <v>-2238.7900000000004</v>
      </c>
      <c r="D3" s="81">
        <v>6670.5599999999995</v>
      </c>
      <c r="E3">
        <v>4431.769999999999</v>
      </c>
      <c r="F3">
        <v>-150.3</v>
      </c>
      <c r="G3">
        <v>-1806.2600000000002</v>
      </c>
      <c r="H3">
        <v>-282.23</v>
      </c>
      <c r="J3">
        <v>0.0</v>
      </c>
      <c r="K3">
        <v>0.0</v>
      </c>
      <c r="L3">
        <v>0.0</v>
      </c>
      <c r="M3">
        <v>0.0</v>
      </c>
      <c r="N3" s="82">
        <v>2803.03</v>
      </c>
      <c r="O3" s="29">
        <f>sum(1440.13,1089.84)</f>
        <v>2529.97</v>
      </c>
      <c r="P3" s="29">
        <f>668.78*2</f>
        <v>1337.56</v>
      </c>
      <c r="Q3" s="8"/>
    </row>
    <row r="4">
      <c r="A4" s="29">
        <v>2020.0</v>
      </c>
      <c r="B4" s="29">
        <v>3.0</v>
      </c>
      <c r="C4" s="8">
        <v>-7341.570000000001</v>
      </c>
      <c r="D4" s="81">
        <v>6975.519999999999</v>
      </c>
      <c r="E4">
        <v>-366.050000000002</v>
      </c>
      <c r="F4">
        <v>-197.97</v>
      </c>
      <c r="G4">
        <v>-1477.6499999999999</v>
      </c>
      <c r="H4">
        <v>-751.87</v>
      </c>
      <c r="J4">
        <v>0.0</v>
      </c>
      <c r="K4">
        <v>-4914.08</v>
      </c>
      <c r="L4">
        <v>0.0</v>
      </c>
      <c r="M4">
        <v>0.0</v>
      </c>
      <c r="N4" s="82">
        <v>1830.48</v>
      </c>
      <c r="O4" s="8">
        <f>sum(1357.9,1424.18,1349.48)</f>
        <v>4131.56</v>
      </c>
      <c r="P4" s="29">
        <f>sum(668.78,344.7)</f>
        <v>1013.48</v>
      </c>
      <c r="Q4" s="29"/>
    </row>
    <row r="5">
      <c r="A5" s="29">
        <v>2020.0</v>
      </c>
      <c r="B5" s="29">
        <v>4.0</v>
      </c>
      <c r="C5" s="8">
        <v>-2233.2400000000002</v>
      </c>
      <c r="D5" s="81">
        <v>5752.0599999999995</v>
      </c>
      <c r="E5">
        <v>3518.8199999999993</v>
      </c>
      <c r="F5">
        <v>-124.17999999999998</v>
      </c>
      <c r="G5">
        <v>-1560.4</v>
      </c>
      <c r="H5">
        <v>-548.6600000000001</v>
      </c>
      <c r="J5">
        <v>0.0</v>
      </c>
      <c r="K5">
        <v>0.0</v>
      </c>
      <c r="L5">
        <v>0.0</v>
      </c>
      <c r="M5">
        <v>0.0</v>
      </c>
      <c r="N5" s="82">
        <v>1146.82</v>
      </c>
      <c r="O5" s="8">
        <f>sum(2147.25,1768.59)</f>
        <v>3915.84</v>
      </c>
      <c r="P5" s="29">
        <f>344.7*2</f>
        <v>689.4</v>
      </c>
      <c r="Q5" s="29"/>
    </row>
    <row r="6">
      <c r="A6" s="29">
        <v>2020.0</v>
      </c>
      <c r="B6" s="29">
        <v>5.0</v>
      </c>
      <c r="C6" s="8">
        <v>-4347.429999999999</v>
      </c>
      <c r="D6" s="81">
        <v>4718.97</v>
      </c>
      <c r="E6">
        <v>371.5400000000009</v>
      </c>
      <c r="F6">
        <v>-160.57999999999998</v>
      </c>
      <c r="G6">
        <v>-3976.85</v>
      </c>
      <c r="H6">
        <v>-35.0</v>
      </c>
      <c r="J6">
        <v>-175.0</v>
      </c>
      <c r="K6">
        <v>0.0</v>
      </c>
      <c r="L6">
        <v>0.0</v>
      </c>
      <c r="M6">
        <v>0.0</v>
      </c>
      <c r="N6" s="82">
        <v>1336.15</v>
      </c>
      <c r="O6" s="29">
        <f>sum(1310.08,1405.34)</f>
        <v>2715.42</v>
      </c>
      <c r="P6" s="29">
        <f>333.7*2</f>
        <v>667.4</v>
      </c>
      <c r="Q6" s="29"/>
    </row>
    <row r="7">
      <c r="A7" s="29">
        <v>2020.0</v>
      </c>
      <c r="B7" s="29">
        <v>6.0</v>
      </c>
      <c r="C7" s="8">
        <v>-2016.8100000000002</v>
      </c>
      <c r="D7" s="81">
        <v>6233.969999999999</v>
      </c>
      <c r="E7">
        <v>4217.159999999999</v>
      </c>
      <c r="F7">
        <v>-129.26999999999998</v>
      </c>
      <c r="G7">
        <v>-1432.5900000000001</v>
      </c>
      <c r="H7">
        <v>-40.95</v>
      </c>
      <c r="J7">
        <v>-414.0</v>
      </c>
      <c r="K7">
        <v>0.0</v>
      </c>
      <c r="L7">
        <v>0.0</v>
      </c>
      <c r="M7">
        <v>0.0</v>
      </c>
      <c r="N7" s="82">
        <v>2351.5999999999995</v>
      </c>
      <c r="O7" s="29">
        <f>sum(1655.61,1542.74)</f>
        <v>3198.35</v>
      </c>
      <c r="P7" s="29">
        <f>sum(333.7,350.32)</f>
        <v>684.02</v>
      </c>
      <c r="Q7" s="29"/>
    </row>
    <row r="8">
      <c r="A8" s="29">
        <v>2020.0</v>
      </c>
      <c r="B8" s="29">
        <v>7.0</v>
      </c>
      <c r="C8" s="8">
        <v>-4377.549999999999</v>
      </c>
      <c r="D8" s="81">
        <v>14377.380000000001</v>
      </c>
      <c r="E8">
        <v>9999.830000000002</v>
      </c>
      <c r="F8">
        <v>-188.26999999999998</v>
      </c>
      <c r="G8">
        <v>-3501.8700000000003</v>
      </c>
      <c r="H8">
        <v>-666.9000000000001</v>
      </c>
      <c r="J8">
        <v>-20.51</v>
      </c>
      <c r="K8">
        <v>0.0</v>
      </c>
      <c r="L8">
        <v>0.0</v>
      </c>
      <c r="M8">
        <v>0.0</v>
      </c>
      <c r="N8" s="8">
        <v>3680.67</v>
      </c>
      <c r="O8" s="8">
        <f>sum(1238.62,7678.6,1078.85)</f>
        <v>9996.07</v>
      </c>
      <c r="P8" s="8">
        <f>sum(350.32*2)</f>
        <v>700.64</v>
      </c>
      <c r="Q8" s="29"/>
    </row>
    <row r="9">
      <c r="A9" s="29">
        <v>2020.0</v>
      </c>
      <c r="B9" s="29">
        <v>8.0</v>
      </c>
      <c r="C9" s="8">
        <v>-8208.130000000001</v>
      </c>
      <c r="D9" s="81">
        <v>4898.3</v>
      </c>
      <c r="E9">
        <v>-3309.830000000001</v>
      </c>
      <c r="F9">
        <v>-5.589999999999996</v>
      </c>
      <c r="G9">
        <v>-2057.14</v>
      </c>
      <c r="H9">
        <v>-1270.0</v>
      </c>
      <c r="J9">
        <v>0.0</v>
      </c>
      <c r="K9">
        <v>-4875.4</v>
      </c>
      <c r="L9">
        <v>0.0</v>
      </c>
      <c r="M9">
        <v>0.0</v>
      </c>
      <c r="N9" s="8">
        <v>1875.2</v>
      </c>
      <c r="O9" s="29">
        <f>sum(1117.37,1205.09)</f>
        <v>2322.46</v>
      </c>
      <c r="P9" s="29">
        <f>350.32*2</f>
        <v>700.64</v>
      </c>
      <c r="Q9" s="29"/>
    </row>
    <row r="10">
      <c r="A10" s="29">
        <v>2020.0</v>
      </c>
      <c r="B10" s="29">
        <v>9.0</v>
      </c>
      <c r="C10" s="8">
        <v>-4292.0199999999995</v>
      </c>
      <c r="D10" s="81">
        <v>7877.599999999999</v>
      </c>
      <c r="E10">
        <v>3585.58</v>
      </c>
      <c r="F10">
        <v>-97.78999999999999</v>
      </c>
      <c r="G10">
        <v>-2221.73</v>
      </c>
      <c r="H10">
        <v>-1972.5</v>
      </c>
      <c r="J10">
        <v>0.0</v>
      </c>
      <c r="K10">
        <v>0.0</v>
      </c>
      <c r="L10">
        <v>0.0</v>
      </c>
      <c r="M10">
        <v>0.0</v>
      </c>
      <c r="N10" s="82">
        <v>3674.68</v>
      </c>
      <c r="O10" s="8">
        <f>sum(1294.79,50,1202.67,363.91)</f>
        <v>2911.37</v>
      </c>
      <c r="P10" s="8">
        <f>350.32+450.79+490.44</f>
        <v>1291.55</v>
      </c>
      <c r="Q10" s="29"/>
    </row>
    <row r="11">
      <c r="A11" s="29">
        <v>2020.0</v>
      </c>
      <c r="B11" s="29">
        <v>10.0</v>
      </c>
      <c r="C11" s="8">
        <v>-2926.93</v>
      </c>
      <c r="D11" s="81">
        <v>2847.19</v>
      </c>
      <c r="E11">
        <v>-79.73999999999978</v>
      </c>
      <c r="F11">
        <v>-39.14</v>
      </c>
      <c r="G11">
        <v>-1459.5100000000002</v>
      </c>
      <c r="H11">
        <v>-1428.28</v>
      </c>
      <c r="J11">
        <v>0.0</v>
      </c>
      <c r="K11">
        <v>0.0</v>
      </c>
      <c r="L11">
        <v>0.0</v>
      </c>
      <c r="M11">
        <v>0.0</v>
      </c>
      <c r="N11" s="8">
        <v>1188.49</v>
      </c>
      <c r="O11" s="8">
        <f>sum(313.91,363.91)</f>
        <v>677.82</v>
      </c>
      <c r="P11" s="8">
        <f>sum(490.44)*2</f>
        <v>980.88</v>
      </c>
      <c r="Q11" s="29"/>
    </row>
    <row r="12">
      <c r="A12" s="29">
        <v>2020.0</v>
      </c>
      <c r="B12" s="29">
        <v>11.0</v>
      </c>
      <c r="C12" s="8">
        <v>-7533.369999999998</v>
      </c>
      <c r="D12" s="81">
        <v>4917.39</v>
      </c>
      <c r="E12">
        <v>-2615.9799999999977</v>
      </c>
      <c r="F12">
        <v>-203.62</v>
      </c>
      <c r="G12">
        <v>-4628.360000000001</v>
      </c>
      <c r="H12">
        <v>-2014.1</v>
      </c>
      <c r="J12">
        <v>-687.29</v>
      </c>
      <c r="K12">
        <v>0.0</v>
      </c>
      <c r="L12">
        <v>0.0</v>
      </c>
      <c r="M12">
        <v>0.0</v>
      </c>
      <c r="N12" s="8">
        <v>3204.69</v>
      </c>
      <c r="O12" s="29">
        <f>365.91*2</f>
        <v>731.82</v>
      </c>
      <c r="P12" s="29">
        <f>490.44*2</f>
        <v>980.88</v>
      </c>
      <c r="Q12" s="29"/>
    </row>
    <row r="13">
      <c r="A13" s="29">
        <v>2020.0</v>
      </c>
      <c r="B13" s="29">
        <v>12.0</v>
      </c>
      <c r="C13" s="8">
        <v>-4424.19</v>
      </c>
      <c r="D13" s="81">
        <v>5869.9400000000005</v>
      </c>
      <c r="E13">
        <v>1445.750000000001</v>
      </c>
      <c r="F13">
        <v>-217.34</v>
      </c>
      <c r="G13">
        <v>-2413.63</v>
      </c>
      <c r="H13">
        <v>-1748.73</v>
      </c>
      <c r="J13">
        <v>0.0</v>
      </c>
      <c r="K13">
        <v>-44.49</v>
      </c>
      <c r="L13">
        <v>0.0</v>
      </c>
      <c r="M13">
        <v>0.0</v>
      </c>
      <c r="N13" s="8">
        <v>4130.1900000000005</v>
      </c>
      <c r="O13" s="8">
        <f>365.91+392.96</f>
        <v>758.87</v>
      </c>
      <c r="P13" s="8">
        <f>sum(490.44*2)</f>
        <v>980.88</v>
      </c>
      <c r="Q13" s="29"/>
    </row>
    <row r="14">
      <c r="A14" s="29">
        <v>2021.0</v>
      </c>
      <c r="B14" s="29">
        <v>1.0</v>
      </c>
      <c r="C14" s="8">
        <v>-4546.05</v>
      </c>
      <c r="D14" s="81">
        <v>4787.32</v>
      </c>
      <c r="E14">
        <v>241.26999999999953</v>
      </c>
      <c r="F14">
        <v>-1159.3999999999999</v>
      </c>
      <c r="G14">
        <v>-1594.28</v>
      </c>
      <c r="H14">
        <v>-1792.37</v>
      </c>
      <c r="J14">
        <v>0.0</v>
      </c>
      <c r="K14">
        <v>0.0</v>
      </c>
      <c r="L14">
        <v>0.0</v>
      </c>
      <c r="M14">
        <v>0.0</v>
      </c>
      <c r="N14" s="29">
        <f>sum(1160.56,177.57,1455.24,87.22)</f>
        <v>2880.59</v>
      </c>
      <c r="O14" s="29">
        <f>sum(388.96*2)</f>
        <v>777.92</v>
      </c>
      <c r="P14" s="29">
        <f>490.44*2</f>
        <v>980.88</v>
      </c>
    </row>
    <row r="15">
      <c r="A15" s="29">
        <v>2021.0</v>
      </c>
      <c r="B15" s="29">
        <v>2.0</v>
      </c>
      <c r="C15" s="8">
        <v>-4022.84</v>
      </c>
      <c r="D15" s="81">
        <v>5244.629999999999</v>
      </c>
      <c r="E15">
        <v>1221.789999999999</v>
      </c>
      <c r="F15">
        <v>-396.44</v>
      </c>
      <c r="G15">
        <v>-1531.4</v>
      </c>
      <c r="H15">
        <v>-1270.0</v>
      </c>
      <c r="J15">
        <v>0.0</v>
      </c>
      <c r="K15">
        <v>-825.0</v>
      </c>
      <c r="L15">
        <v>0.0</v>
      </c>
      <c r="M15">
        <v>0.0</v>
      </c>
      <c r="N15" s="29">
        <f>sum(1248.97,82.36,842.45,79.52)</f>
        <v>2253.3</v>
      </c>
      <c r="O15" s="29">
        <f>sum(767.4,2094.6)</f>
        <v>2862</v>
      </c>
      <c r="P15" s="29">
        <v>0.0</v>
      </c>
    </row>
    <row r="16">
      <c r="A16" s="29">
        <v>2021.0</v>
      </c>
      <c r="B16" s="29">
        <v>3.0</v>
      </c>
      <c r="C16" s="8">
        <v>-9522.24</v>
      </c>
      <c r="D16" s="81">
        <v>6870.83</v>
      </c>
      <c r="E16">
        <v>-2651.41</v>
      </c>
      <c r="F16">
        <v>-236.24000000000004</v>
      </c>
      <c r="G16">
        <v>-1969.6399999999999</v>
      </c>
      <c r="H16">
        <v>-2768.4</v>
      </c>
      <c r="J16">
        <v>0.0</v>
      </c>
      <c r="K16">
        <v>-4547.96</v>
      </c>
      <c r="L16">
        <v>0.0</v>
      </c>
      <c r="M16">
        <v>0.0</v>
      </c>
      <c r="N16" s="29">
        <f>sum(1305.57,250,79.66,879.46,79.66,843.82)</f>
        <v>3438.17</v>
      </c>
      <c r="O16" s="8">
        <f>sum(1111.8,1111.8,1111.8)</f>
        <v>3335.4</v>
      </c>
      <c r="P16" s="29">
        <v>0.0</v>
      </c>
    </row>
    <row r="17">
      <c r="A17" s="29">
        <v>2021.0</v>
      </c>
      <c r="B17" s="29">
        <v>4.0</v>
      </c>
      <c r="C17" s="8">
        <v>-3484.770000000001</v>
      </c>
      <c r="D17" s="81">
        <v>4899.62</v>
      </c>
      <c r="E17">
        <v>1414.849999999999</v>
      </c>
      <c r="F17">
        <v>-253.32</v>
      </c>
      <c r="G17">
        <v>-1927.9500000000005</v>
      </c>
      <c r="H17">
        <v>-1303.5</v>
      </c>
      <c r="J17">
        <v>0.0</v>
      </c>
      <c r="K17">
        <v>0.0</v>
      </c>
      <c r="L17">
        <v>0.0</v>
      </c>
      <c r="M17">
        <v>0.0</v>
      </c>
      <c r="N17" s="29">
        <f>sum(79.66,1103.72,15.07,79.66,993.5)</f>
        <v>2271.61</v>
      </c>
      <c r="O17" s="8">
        <f>sum(1111.8,261.75,1111.8,28)</f>
        <v>2513.35</v>
      </c>
      <c r="P17" s="29">
        <v>0.0</v>
      </c>
    </row>
    <row r="18">
      <c r="A18" s="29">
        <v>2021.0</v>
      </c>
      <c r="B18" s="29">
        <v>5.0</v>
      </c>
      <c r="C18" s="8">
        <v>-4418.269999999999</v>
      </c>
      <c r="D18" s="81">
        <v>5290.61</v>
      </c>
      <c r="E18">
        <v>872.340000000001</v>
      </c>
      <c r="F18">
        <v>-182.92</v>
      </c>
      <c r="G18">
        <v>-1964.48</v>
      </c>
      <c r="H18">
        <v>-2080.0</v>
      </c>
      <c r="J18">
        <v>-190.87</v>
      </c>
      <c r="K18">
        <v>0.0</v>
      </c>
      <c r="L18">
        <v>0.0</v>
      </c>
      <c r="M18">
        <v>0.0</v>
      </c>
      <c r="N18" s="29">
        <f>sum(113.96,1189.68,175.7,1224.99)</f>
        <v>2704.33</v>
      </c>
      <c r="O18" s="29">
        <f>sum(1111.8,200,50,1111.8,20.39)</f>
        <v>2493.99</v>
      </c>
      <c r="P18" s="29">
        <v>0.0</v>
      </c>
    </row>
    <row r="19">
      <c r="A19" s="29">
        <v>2021.0</v>
      </c>
      <c r="B19" s="29">
        <v>6.0</v>
      </c>
      <c r="C19" s="8">
        <v>-4732.869999999999</v>
      </c>
      <c r="D19" s="81">
        <v>2717.1000000000004</v>
      </c>
      <c r="E19">
        <v>-2015.7699999999986</v>
      </c>
      <c r="F19">
        <v>-99.38</v>
      </c>
      <c r="G19">
        <v>-1780.1499999999999</v>
      </c>
      <c r="H19">
        <v>-1347.2</v>
      </c>
      <c r="J19">
        <v>0.0</v>
      </c>
      <c r="K19">
        <v>-1506.1399999999999</v>
      </c>
      <c r="L19">
        <v>0.0</v>
      </c>
      <c r="M19">
        <v>0.0</v>
      </c>
      <c r="N19" s="29">
        <f>sum(175.7,848.77,147.64,189.56,11.92,865.9,174.02,189.56)</f>
        <v>2603.07</v>
      </c>
      <c r="O19" s="29">
        <v>0.0</v>
      </c>
      <c r="P19" s="29">
        <v>0.0</v>
      </c>
    </row>
    <row r="20">
      <c r="A20" s="29">
        <v>2021.0</v>
      </c>
      <c r="B20" s="29">
        <v>7.0</v>
      </c>
      <c r="C20" s="8">
        <v>-9434.339999999998</v>
      </c>
      <c r="D20" s="81">
        <v>9980.34</v>
      </c>
      <c r="E20">
        <v>546.0000000000018</v>
      </c>
      <c r="F20">
        <v>-227.07</v>
      </c>
      <c r="G20">
        <v>-1970.9900000000002</v>
      </c>
      <c r="H20">
        <v>-3162.3399999999992</v>
      </c>
      <c r="J20">
        <v>0.0</v>
      </c>
      <c r="K20">
        <v>-4073.9399999999996</v>
      </c>
      <c r="L20">
        <v>0.0</v>
      </c>
      <c r="M20">
        <v>0.0</v>
      </c>
      <c r="N20" s="8">
        <f>sum(242.4,982.62,292.05,645.2,450,353.78)</f>
        <v>2966.05</v>
      </c>
      <c r="O20" s="48">
        <f>sum(500,6471.04)</f>
        <v>6971.04</v>
      </c>
      <c r="P20" s="29">
        <v>0.0</v>
      </c>
    </row>
    <row r="21">
      <c r="A21" s="29">
        <v>2021.0</v>
      </c>
      <c r="B21" s="29">
        <v>8.0</v>
      </c>
      <c r="C21" s="8">
        <v>-9442.08</v>
      </c>
      <c r="D21" s="81">
        <v>8090.33</v>
      </c>
      <c r="E21">
        <v>-1351.75</v>
      </c>
      <c r="F21">
        <v>-279.96</v>
      </c>
      <c r="G21">
        <v>-2127.2100000000005</v>
      </c>
      <c r="H21">
        <f>sum(-2487.87,1883)</f>
        <v>-604.87</v>
      </c>
      <c r="J21">
        <v>0.0</v>
      </c>
      <c r="K21">
        <v>-4547.04</v>
      </c>
      <c r="L21" s="39">
        <v>-1883.0</v>
      </c>
      <c r="M21">
        <v>0.0</v>
      </c>
      <c r="N21" s="8">
        <f>sum(600,660.18,375,94.69,350,750,861.1,40,750,74.76,750)</f>
        <v>5305.73</v>
      </c>
      <c r="O21" s="48">
        <f>sum(888.8,20,1312.75)</f>
        <v>2221.55</v>
      </c>
      <c r="P21" s="29">
        <v>563.05</v>
      </c>
    </row>
    <row r="22">
      <c r="A22" s="29">
        <v>2021.0</v>
      </c>
      <c r="B22" s="29">
        <v>9.0</v>
      </c>
      <c r="C22" s="8">
        <v>-6645.2</v>
      </c>
      <c r="D22" s="81">
        <v>10360.59</v>
      </c>
      <c r="E22">
        <v>3715.3900000000003</v>
      </c>
      <c r="F22">
        <v>-219.48000000000002</v>
      </c>
      <c r="G22">
        <v>-1903.9800000000002</v>
      </c>
      <c r="H22">
        <f>sum(-2522.74,1883)</f>
        <v>-639.74</v>
      </c>
      <c r="J22">
        <v>0.0</v>
      </c>
      <c r="K22">
        <v>-1999.0</v>
      </c>
      <c r="L22" s="39">
        <v>-1883.0</v>
      </c>
      <c r="M22">
        <v>0.0</v>
      </c>
      <c r="N22" s="29">
        <f>sum(669.77,750,74.76,750,129.94,47.18,450,750,74.76,750,871.2,750,74.76)</f>
        <v>6142.37</v>
      </c>
      <c r="O22" s="29">
        <f>sum(200,1353.09,1539.03)</f>
        <v>3092.12</v>
      </c>
      <c r="P22" s="29">
        <f>sum(563.05,563.05)</f>
        <v>1126.1</v>
      </c>
    </row>
    <row r="23">
      <c r="A23" s="29">
        <v>2021.0</v>
      </c>
      <c r="B23" s="29">
        <v>10.0</v>
      </c>
      <c r="C23" s="8">
        <v>-7835.089999999999</v>
      </c>
      <c r="D23" s="81">
        <v>9938.69</v>
      </c>
      <c r="E23">
        <v>2103.6000000000013</v>
      </c>
      <c r="F23">
        <v>-1248.28</v>
      </c>
      <c r="G23">
        <v>-2911.03</v>
      </c>
      <c r="H23">
        <f>sum(-3592.48,1883)</f>
        <v>-1709.48</v>
      </c>
      <c r="J23">
        <v>0.0</v>
      </c>
      <c r="K23">
        <v>-83.3</v>
      </c>
      <c r="L23" s="39">
        <v>-1883.0</v>
      </c>
      <c r="M23">
        <v>0.0</v>
      </c>
      <c r="N23" s="8">
        <f>sum(750,873.99,750,750,74.76,1031.1,750)</f>
        <v>4979.85</v>
      </c>
      <c r="O23" s="8">
        <f>sum(20.15,1410.55,40.59,1.5,55,1186.95)</f>
        <v>2714.74</v>
      </c>
      <c r="P23" s="29">
        <f>sum(563.05,1118,563.05)</f>
        <v>2244.1</v>
      </c>
    </row>
    <row r="24">
      <c r="A24" s="29">
        <v>2021.0</v>
      </c>
      <c r="B24" s="29">
        <v>11.0</v>
      </c>
      <c r="C24" s="8">
        <v>-6716.279999999999</v>
      </c>
      <c r="D24" s="81">
        <v>12165.04</v>
      </c>
      <c r="E24">
        <v>5448.760000000002</v>
      </c>
      <c r="F24">
        <v>-393.05</v>
      </c>
      <c r="G24">
        <v>-2927.56</v>
      </c>
      <c r="H24">
        <f>sum(-2549.77,1883)</f>
        <v>-666.77</v>
      </c>
      <c r="J24">
        <v>-845.9</v>
      </c>
      <c r="K24">
        <v>0.0</v>
      </c>
      <c r="L24" s="39">
        <v>-1883.0</v>
      </c>
      <c r="M24">
        <v>0.0</v>
      </c>
      <c r="N24" s="8">
        <f>sum(74.76,450,750,450,527.4,516.63,74.76,320,971.55)</f>
        <v>4135.1</v>
      </c>
      <c r="O24" s="29">
        <f>sum(1,450,450,1548.19,450,1.5,320,1284.95,104.5)</f>
        <v>4610.14</v>
      </c>
      <c r="P24" s="29">
        <f>sum(998.4,563.05,1190.8,563.05,104.5)</f>
        <v>3419.8</v>
      </c>
    </row>
    <row r="25">
      <c r="A25" s="29">
        <v>2021.0</v>
      </c>
      <c r="B25" s="29">
        <v>12.0</v>
      </c>
      <c r="C25" s="8">
        <v>-2944.9100000000003</v>
      </c>
      <c r="D25" s="81">
        <v>6155.67</v>
      </c>
      <c r="E25">
        <v>3210.7599999999998</v>
      </c>
      <c r="F25" s="83">
        <f>'2021'!E14</f>
        <v>-423.51</v>
      </c>
      <c r="G25" s="84">
        <f>'2021'!F14</f>
        <v>-2396.11</v>
      </c>
      <c r="H25" s="84">
        <f>'2021'!G14+1883</f>
        <v>-865.56</v>
      </c>
      <c r="J25">
        <v>0.0</v>
      </c>
      <c r="K25">
        <v>0.0</v>
      </c>
      <c r="L25" s="39">
        <v>-1883.0</v>
      </c>
      <c r="M25">
        <v>0.0</v>
      </c>
      <c r="N25" s="8">
        <f>'2021_income'!D14</f>
        <v>6174.99</v>
      </c>
      <c r="O25" s="8">
        <f>'2021_income'!E14</f>
        <v>3181.89</v>
      </c>
      <c r="P25" s="8">
        <f>'2021_income'!F14</f>
        <v>1983.05</v>
      </c>
    </row>
    <row r="26">
      <c r="A26" s="29">
        <v>2022.0</v>
      </c>
      <c r="B26" s="29">
        <v>1.0</v>
      </c>
      <c r="C26" s="8">
        <v>-5045.13</v>
      </c>
      <c r="D26" s="81">
        <v>10557.88</v>
      </c>
      <c r="E26">
        <v>5512.749999999999</v>
      </c>
      <c r="F26">
        <v>-338.45</v>
      </c>
      <c r="G26">
        <v>-813.08</v>
      </c>
      <c r="H26">
        <v>-201.19</v>
      </c>
      <c r="I26">
        <v>-1230.37</v>
      </c>
      <c r="J26">
        <v>-350.92999999999995</v>
      </c>
      <c r="K26">
        <v>0.0</v>
      </c>
      <c r="L26">
        <v>-1883.0</v>
      </c>
      <c r="M26">
        <v>-228.11</v>
      </c>
      <c r="N26" s="27">
        <f>sum(923.16,1131.25*2,74.76*2,974.35,50.98,450,15.03)</f>
        <v>4825.54</v>
      </c>
      <c r="O26" s="27">
        <f>sum(2010.14,25,1663.2,450,0.52,28.72)</f>
        <v>4177.58</v>
      </c>
      <c r="P26" s="27">
        <f>sum(56.09,506.96,563.24,428.47)</f>
        <v>1554.76</v>
      </c>
      <c r="Q26" s="19"/>
    </row>
    <row r="27">
      <c r="A27" s="29">
        <v>2022.0</v>
      </c>
      <c r="B27" s="29">
        <v>2.0</v>
      </c>
      <c r="C27" s="8">
        <v>-4644.96</v>
      </c>
      <c r="D27" s="81">
        <v>8373.77</v>
      </c>
      <c r="E27">
        <v>3728.8100000000004</v>
      </c>
      <c r="F27">
        <v>-384.42999999999995</v>
      </c>
      <c r="G27">
        <v>-434.69000000000005</v>
      </c>
      <c r="H27">
        <v>-385.33</v>
      </c>
      <c r="I27">
        <v>-988.27</v>
      </c>
      <c r="J27">
        <v>-365.68</v>
      </c>
      <c r="K27">
        <v>0.0</v>
      </c>
      <c r="L27">
        <v>-1883.0</v>
      </c>
      <c r="M27">
        <v>-203.56</v>
      </c>
      <c r="N27" s="27">
        <f>sum(302.71,1131.25*2,74.76*2,644.63)</f>
        <v>3359.36</v>
      </c>
      <c r="O27" s="27">
        <f>sum(1398.72,1646.21,1.04)</f>
        <v>3045.97</v>
      </c>
      <c r="P27" s="27">
        <f>sum(563.24,563.24,841.96)</f>
        <v>1968.44</v>
      </c>
      <c r="Q27" s="19"/>
    </row>
    <row r="28">
      <c r="A28" s="29">
        <v>2022.0</v>
      </c>
      <c r="B28" s="29">
        <v>3.0</v>
      </c>
      <c r="C28" s="8">
        <v>-7774.839999999999</v>
      </c>
      <c r="D28" s="81">
        <v>11850.93</v>
      </c>
      <c r="E28">
        <v>4076.090000000001</v>
      </c>
      <c r="F28">
        <v>-414.24</v>
      </c>
      <c r="G28">
        <v>-1665.0699999999997</v>
      </c>
      <c r="H28">
        <v>-1864.71</v>
      </c>
      <c r="I28">
        <v>-1151.24</v>
      </c>
      <c r="J28">
        <v>-507.75999999999993</v>
      </c>
      <c r="K28">
        <v>0.0</v>
      </c>
      <c r="L28">
        <v>-1889.0</v>
      </c>
      <c r="M28">
        <v>-282.82</v>
      </c>
      <c r="N28" s="27">
        <f>sum(903.86,1131.25,74.76,753.87,1122.25,74.76)</f>
        <v>4060.75</v>
      </c>
      <c r="O28" s="19">
        <f>sum(1499.71,0.52,31.12,609.94,1724.2,1625.03)</f>
        <v>5490.52</v>
      </c>
      <c r="P28" s="27">
        <f>sum(563.24,609.94,56.09,507.15,563.24)</f>
        <v>2299.66</v>
      </c>
      <c r="Q28" s="19"/>
    </row>
    <row r="29">
      <c r="A29" s="29">
        <v>2022.0</v>
      </c>
      <c r="B29" s="29">
        <v>4.0</v>
      </c>
      <c r="C29" s="8">
        <v>-5793.349999999999</v>
      </c>
      <c r="D29" s="81">
        <v>9846.13</v>
      </c>
      <c r="E29">
        <v>4052.7799999999997</v>
      </c>
      <c r="F29">
        <v>-112.64999999999999</v>
      </c>
      <c r="G29">
        <v>-1657.9099999999999</v>
      </c>
      <c r="H29">
        <v>-439.93</v>
      </c>
      <c r="I29">
        <v>-696.4300000000001</v>
      </c>
      <c r="J29">
        <v>-786.2300000000001</v>
      </c>
      <c r="K29">
        <v>0.0</v>
      </c>
      <c r="L29">
        <v>-1889.0</v>
      </c>
      <c r="M29">
        <v>-211.2</v>
      </c>
      <c r="N29" s="27">
        <f t="shared" ref="N29:N30" si="1">sum(2632.08*2,74.76*2)</f>
        <v>5413.68</v>
      </c>
      <c r="O29" s="19">
        <f>sum(1559.42,2179.97)</f>
        <v>3739.39</v>
      </c>
      <c r="P29" s="27">
        <f>sum(346.53,56.09,290.44)</f>
        <v>693.06</v>
      </c>
      <c r="Q29" s="19"/>
    </row>
    <row r="30">
      <c r="A30" s="29">
        <v>2022.0</v>
      </c>
      <c r="B30" s="29">
        <v>5.0</v>
      </c>
      <c r="C30" s="8">
        <v>-4398.679999999999</v>
      </c>
      <c r="D30" s="81">
        <v>9554.109999999999</v>
      </c>
      <c r="E30">
        <v>5155.429999999999</v>
      </c>
      <c r="F30">
        <v>-20.0</v>
      </c>
      <c r="G30">
        <v>-442.92999999999995</v>
      </c>
      <c r="H30">
        <v>-864.25</v>
      </c>
      <c r="I30">
        <v>-452.94000000000005</v>
      </c>
      <c r="J30">
        <v>-518.36</v>
      </c>
      <c r="K30">
        <v>0.0</v>
      </c>
      <c r="L30">
        <v>-1889.0</v>
      </c>
      <c r="M30">
        <v>-211.2</v>
      </c>
      <c r="N30" s="27">
        <f t="shared" si="1"/>
        <v>5413.68</v>
      </c>
      <c r="O30" s="27">
        <f>sum(54.5,18.95,1645.01,1728.91)</f>
        <v>3447.37</v>
      </c>
      <c r="P30" s="27">
        <f t="shared" ref="P30:P32" si="2">sum(346.53,346.53)</f>
        <v>693.06</v>
      </c>
      <c r="Q30" s="19"/>
    </row>
    <row r="31">
      <c r="A31" s="29">
        <v>2022.0</v>
      </c>
      <c r="B31" s="29">
        <v>6.0</v>
      </c>
      <c r="C31" s="8">
        <v>-9688.970000000001</v>
      </c>
      <c r="D31" s="81">
        <v>12136.95</v>
      </c>
      <c r="E31">
        <v>2447.9799999999996</v>
      </c>
      <c r="F31">
        <v>-78.75</v>
      </c>
      <c r="G31">
        <v>-6685.749999999999</v>
      </c>
      <c r="H31">
        <v>-343.96999999999997</v>
      </c>
      <c r="I31">
        <v>-418.28000000000003</v>
      </c>
      <c r="J31">
        <v>-62.02000000000001</v>
      </c>
      <c r="K31">
        <v>0.0</v>
      </c>
      <c r="L31">
        <v>-1889.0</v>
      </c>
      <c r="M31">
        <v>-211.2</v>
      </c>
      <c r="N31" s="27">
        <f>sum(2632.08,74.76*3,2677.26*2)</f>
        <v>8210.88</v>
      </c>
      <c r="O31" s="27">
        <f>sum(1543.92,1689.09)</f>
        <v>3233.01</v>
      </c>
      <c r="P31" s="27">
        <f t="shared" si="2"/>
        <v>693.06</v>
      </c>
      <c r="Q31" s="19"/>
    </row>
    <row r="32">
      <c r="A32" s="29">
        <v>2022.0</v>
      </c>
      <c r="B32" s="29">
        <v>7.0</v>
      </c>
      <c r="C32" s="8">
        <v>-12560.029999999999</v>
      </c>
      <c r="D32" s="81">
        <v>18385.52</v>
      </c>
      <c r="E32">
        <v>5825.490000000002</v>
      </c>
      <c r="F32">
        <v>-67.60000000000001</v>
      </c>
      <c r="G32">
        <v>-1156.13</v>
      </c>
      <c r="H32">
        <v>-3675.52</v>
      </c>
      <c r="I32">
        <v>-593.6399999999999</v>
      </c>
      <c r="J32">
        <v>-281.94</v>
      </c>
      <c r="K32" s="39">
        <v>-14545.0</v>
      </c>
      <c r="L32">
        <v>-1889.0</v>
      </c>
      <c r="M32">
        <v>-351.2</v>
      </c>
      <c r="N32" s="19">
        <f>sum(2677.26*2,10.68)</f>
        <v>5365.2</v>
      </c>
      <c r="O32" s="27">
        <f>sum(1931.09,1540.69,8855.48)</f>
        <v>12327.26</v>
      </c>
      <c r="P32" s="19">
        <f t="shared" si="2"/>
        <v>693.06</v>
      </c>
      <c r="Q32" s="19"/>
    </row>
    <row r="33">
      <c r="A33" s="29">
        <v>2022.0</v>
      </c>
      <c r="B33" s="29">
        <v>8.0</v>
      </c>
      <c r="C33" s="8">
        <v>-11976.91</v>
      </c>
      <c r="D33" s="81">
        <v>12238.99</v>
      </c>
      <c r="E33">
        <v>262.0799999999999</v>
      </c>
      <c r="F33">
        <v>-62.64</v>
      </c>
      <c r="G33">
        <v>-4501.84</v>
      </c>
      <c r="H33">
        <v>-3723.0099999999998</v>
      </c>
      <c r="I33">
        <v>-987.8399999999999</v>
      </c>
      <c r="J33">
        <v>-367.14</v>
      </c>
      <c r="K33">
        <v>0.0</v>
      </c>
      <c r="L33">
        <v>-1889.0</v>
      </c>
      <c r="M33">
        <v>-445.44000000000005</v>
      </c>
      <c r="N33" s="19">
        <f>sum(2677.26*2)</f>
        <v>5354.52</v>
      </c>
      <c r="O33" s="27">
        <f>sum(1814.29,1451.42,2366.46)</f>
        <v>5632.17</v>
      </c>
      <c r="P33" s="27">
        <f>sum(346.53,346.53,145.62,67.09,346.53)</f>
        <v>1252.3</v>
      </c>
      <c r="Q33" s="19"/>
    </row>
    <row r="34">
      <c r="A34" s="29">
        <v>2022.0</v>
      </c>
      <c r="B34" s="29">
        <v>9.0</v>
      </c>
      <c r="C34" s="8">
        <v>-6346.19</v>
      </c>
      <c r="D34" s="81">
        <v>9561.500000000002</v>
      </c>
      <c r="E34">
        <v>3215.310000000002</v>
      </c>
      <c r="F34">
        <v>-10.0</v>
      </c>
      <c r="G34">
        <v>-1581.72</v>
      </c>
      <c r="H34">
        <v>-673.74</v>
      </c>
      <c r="I34">
        <v>-935.8499999999999</v>
      </c>
      <c r="J34">
        <v>-570.97</v>
      </c>
      <c r="K34">
        <v>0.0</v>
      </c>
      <c r="L34">
        <v>-1935.0</v>
      </c>
      <c r="M34">
        <v>-638.9100000000001</v>
      </c>
      <c r="N34" s="27">
        <f t="shared" ref="N34:N35" si="3">sum(2677.26)*2</f>
        <v>5354.52</v>
      </c>
      <c r="O34" s="27">
        <f>sum(1463.94,1749.78)</f>
        <v>3213.72</v>
      </c>
      <c r="P34" s="27">
        <f>sum(154.57,342.06,342.06,154.57)</f>
        <v>993.26</v>
      </c>
      <c r="Q34" s="19"/>
    </row>
    <row r="35">
      <c r="A35" s="29">
        <v>2022.0</v>
      </c>
      <c r="B35" s="29">
        <v>10.0</v>
      </c>
      <c r="C35" s="8">
        <v>-5861.75</v>
      </c>
      <c r="D35" s="81">
        <v>10052.65</v>
      </c>
      <c r="E35">
        <v>4190.9</v>
      </c>
      <c r="F35">
        <v>-81.3</v>
      </c>
      <c r="G35">
        <v>-1369.52</v>
      </c>
      <c r="H35">
        <v>-905.01</v>
      </c>
      <c r="I35">
        <v>-569.33</v>
      </c>
      <c r="J35">
        <v>-497.18</v>
      </c>
      <c r="K35">
        <v>0.0</v>
      </c>
      <c r="L35">
        <v>-1935.0</v>
      </c>
      <c r="M35">
        <v>-504.40999999999997</v>
      </c>
      <c r="N35" s="19">
        <f t="shared" si="3"/>
        <v>5354.52</v>
      </c>
      <c r="O35" s="19">
        <f>sum(2337.59,1367.28)</f>
        <v>3704.87</v>
      </c>
      <c r="P35" s="27">
        <f>sum(342.06*2,154.57*2)</f>
        <v>993.26</v>
      </c>
      <c r="Q35" s="19"/>
    </row>
    <row r="36">
      <c r="A36" s="29">
        <v>2022.0</v>
      </c>
      <c r="B36" s="29">
        <v>11.0</v>
      </c>
      <c r="C36" s="8">
        <v>-9053.85</v>
      </c>
      <c r="D36" s="81">
        <v>12852.000000000002</v>
      </c>
      <c r="E36">
        <v>3798.1500000000015</v>
      </c>
      <c r="F36">
        <v>-49.15</v>
      </c>
      <c r="G36">
        <v>-2942.42</v>
      </c>
      <c r="H36">
        <v>-964.37</v>
      </c>
      <c r="I36">
        <v>-339.25</v>
      </c>
      <c r="J36">
        <v>-392.26</v>
      </c>
      <c r="K36">
        <v>-2000.0</v>
      </c>
      <c r="L36">
        <v>-1935.0</v>
      </c>
      <c r="M36">
        <v>-431.4</v>
      </c>
      <c r="N36" s="19">
        <f>sum(2677.26*2,3229.93)</f>
        <v>8584.45</v>
      </c>
      <c r="O36" s="27">
        <f>sum(1677.03,1597.26)</f>
        <v>3274.29</v>
      </c>
      <c r="P36" s="27">
        <f t="shared" ref="P36:P37" si="4">sum(342.06,154.57,342.06,154.57)</f>
        <v>993.26</v>
      </c>
      <c r="Q36" s="19"/>
    </row>
    <row r="37">
      <c r="A37" s="29">
        <v>2022.0</v>
      </c>
      <c r="B37" s="29">
        <v>12.0</v>
      </c>
      <c r="C37" s="8">
        <v>-16146.66</v>
      </c>
      <c r="D37" s="81">
        <v>9407.24</v>
      </c>
      <c r="E37">
        <v>-6739.42</v>
      </c>
      <c r="F37">
        <v>-120.0</v>
      </c>
      <c r="G37">
        <v>-1110.46</v>
      </c>
      <c r="H37">
        <v>-849.03</v>
      </c>
      <c r="I37">
        <v>-573.97</v>
      </c>
      <c r="J37">
        <v>-56.8</v>
      </c>
      <c r="K37">
        <v>-10000.0</v>
      </c>
      <c r="L37">
        <v>-3040.0</v>
      </c>
      <c r="M37">
        <v>-396.4</v>
      </c>
      <c r="N37" s="19">
        <f>sum(2677.26)*2</f>
        <v>5354.52</v>
      </c>
      <c r="O37" s="27">
        <f>sum(1524.43,1535.03)</f>
        <v>3059.46</v>
      </c>
      <c r="P37" s="27">
        <f t="shared" si="4"/>
        <v>993.26</v>
      </c>
    </row>
    <row r="38">
      <c r="A38" s="29">
        <v>2023.0</v>
      </c>
      <c r="B38" s="29">
        <v>1.0</v>
      </c>
      <c r="C38" s="8">
        <v>-5886.78</v>
      </c>
      <c r="D38" s="81">
        <v>12655.27</v>
      </c>
      <c r="E38">
        <v>6768.490000000001</v>
      </c>
      <c r="F38">
        <v>-20.0</v>
      </c>
      <c r="G38">
        <v>-295.51</v>
      </c>
      <c r="H38">
        <v>-612.07</v>
      </c>
      <c r="I38">
        <v>-1289.48</v>
      </c>
      <c r="J38">
        <v>-665.32</v>
      </c>
      <c r="K38">
        <v>0.0</v>
      </c>
      <c r="L38">
        <v>-2540.0</v>
      </c>
      <c r="M38">
        <v>-464.4</v>
      </c>
      <c r="N38" s="27">
        <f t="shared" ref="N38:N40" si="5">2677.26*2</f>
        <v>5354.52</v>
      </c>
      <c r="O38" s="27">
        <f>sum(1886.39,2125.84,1798.63)</f>
        <v>5810.86</v>
      </c>
      <c r="P38" s="27">
        <f>sum(342.06*3,154.57*3)</f>
        <v>1489.89</v>
      </c>
    </row>
    <row r="39">
      <c r="A39" s="29">
        <v>2023.0</v>
      </c>
      <c r="B39" s="29">
        <v>2.0</v>
      </c>
      <c r="C39" s="8">
        <v>-7471.21</v>
      </c>
      <c r="D39" s="81">
        <v>8569.45</v>
      </c>
      <c r="E39">
        <v>1098.2400000000007</v>
      </c>
      <c r="F39">
        <v>0.0</v>
      </c>
      <c r="G39">
        <v>-677.03</v>
      </c>
      <c r="H39">
        <v>-1338.4699999999998</v>
      </c>
      <c r="I39">
        <v>-1768.98</v>
      </c>
      <c r="J39">
        <v>-433.29999999999995</v>
      </c>
      <c r="K39">
        <v>0.0</v>
      </c>
      <c r="L39">
        <v>-2540.0</v>
      </c>
      <c r="M39">
        <v>-713.43</v>
      </c>
      <c r="N39" s="27">
        <f t="shared" si="5"/>
        <v>5354.52</v>
      </c>
      <c r="O39" s="27">
        <f>sum(2718.3)</f>
        <v>2718.3</v>
      </c>
      <c r="P39" s="27">
        <f>sum(342.06,154.57)</f>
        <v>496.63</v>
      </c>
    </row>
    <row r="40">
      <c r="A40" s="29">
        <v>2023.0</v>
      </c>
      <c r="B40" s="29">
        <v>3.0</v>
      </c>
      <c r="C40" s="8">
        <v>-10331.23</v>
      </c>
      <c r="D40" s="81">
        <v>11967.09</v>
      </c>
      <c r="E40">
        <v>1635.8600000000006</v>
      </c>
      <c r="F40">
        <v>-1914.72</v>
      </c>
      <c r="G40">
        <v>-345.12</v>
      </c>
      <c r="H40">
        <v>-3050.02</v>
      </c>
      <c r="I40">
        <v>-1059.23</v>
      </c>
      <c r="J40">
        <v>-512.64</v>
      </c>
      <c r="K40">
        <v>0.0</v>
      </c>
      <c r="L40">
        <v>-2590.0</v>
      </c>
      <c r="M40">
        <v>-859.5</v>
      </c>
      <c r="N40" s="27">
        <f t="shared" si="5"/>
        <v>5354.52</v>
      </c>
      <c r="O40" s="19">
        <f>sum(1624.89,1806.27,1846.09)</f>
        <v>5277.25</v>
      </c>
      <c r="P40" s="27">
        <f>sum(342.06*3,154.57*2)</f>
        <v>1335.32</v>
      </c>
    </row>
    <row r="41">
      <c r="A41" s="29">
        <v>2023.0</v>
      </c>
      <c r="B41" s="29">
        <v>4.0</v>
      </c>
      <c r="C41" s="8">
        <v>-6071.86</v>
      </c>
      <c r="D41" s="81">
        <v>14947.84</v>
      </c>
      <c r="E41">
        <v>8875.98</v>
      </c>
      <c r="F41">
        <v>-13.44</v>
      </c>
      <c r="G41">
        <v>-169.06</v>
      </c>
      <c r="H41">
        <v>-585.07</v>
      </c>
      <c r="I41">
        <v>-1250.69</v>
      </c>
      <c r="J41">
        <v>-833.2999999999998</v>
      </c>
      <c r="K41">
        <v>0.0</v>
      </c>
      <c r="L41">
        <v>-2590.0</v>
      </c>
      <c r="M41">
        <v>-630.3000000000001</v>
      </c>
      <c r="N41" s="27">
        <f>sum(2718.98,2722.06)</f>
        <v>5441.04</v>
      </c>
      <c r="O41" s="19">
        <f>sum(73.6,2590.06)</f>
        <v>2663.66</v>
      </c>
      <c r="P41" s="27">
        <f>sum(3900,2942.64)</f>
        <v>6842.64</v>
      </c>
      <c r="Q41" s="27">
        <v>0.5</v>
      </c>
    </row>
    <row r="42">
      <c r="A42" s="29">
        <v>2023.0</v>
      </c>
      <c r="B42" s="29">
        <v>5.0</v>
      </c>
      <c r="C42" s="8">
        <v>-4116.1900000000005</v>
      </c>
      <c r="D42" s="81">
        <v>5048.0199999999995</v>
      </c>
      <c r="E42">
        <v>931.829999999999</v>
      </c>
      <c r="F42">
        <v>0.0</v>
      </c>
      <c r="G42">
        <v>-12.0</v>
      </c>
      <c r="H42">
        <v>-683.69</v>
      </c>
      <c r="I42">
        <v>-255.38000000000005</v>
      </c>
      <c r="J42">
        <v>-231.32</v>
      </c>
      <c r="K42">
        <v>0.0</v>
      </c>
      <c r="L42">
        <v>-2590.0</v>
      </c>
      <c r="M42">
        <v>-343.8</v>
      </c>
      <c r="N42" s="27">
        <f>2722.06</f>
        <v>2722.06</v>
      </c>
      <c r="O42" s="27">
        <f>sum(1771.51)</f>
        <v>1771.51</v>
      </c>
      <c r="P42" s="27">
        <f>sum(375.41,155.41)</f>
        <v>530.82</v>
      </c>
      <c r="Q42" s="27">
        <v>23.63</v>
      </c>
    </row>
    <row r="43">
      <c r="A43" s="29">
        <v>2023.0</v>
      </c>
      <c r="B43" s="29">
        <v>6.0</v>
      </c>
      <c r="C43" s="19">
        <v>-8517.79</v>
      </c>
      <c r="D43" s="83">
        <v>11352.46</v>
      </c>
      <c r="E43" s="84">
        <v>2834.6699999999983</v>
      </c>
      <c r="F43" s="84">
        <v>-41.5</v>
      </c>
      <c r="G43" s="84">
        <v>-535.1600000000001</v>
      </c>
      <c r="H43" s="84">
        <v>-1739.75</v>
      </c>
      <c r="I43" s="84">
        <v>-1384.54</v>
      </c>
      <c r="J43" s="84">
        <v>-675.7499999999999</v>
      </c>
      <c r="K43" s="84">
        <v>-430.0</v>
      </c>
      <c r="L43" s="84">
        <v>-2590.0</v>
      </c>
      <c r="M43" s="84">
        <v>-1121.0900000000001</v>
      </c>
      <c r="N43" s="27">
        <f t="shared" ref="N43:N46" si="6">2794.07*2</f>
        <v>5588.14</v>
      </c>
      <c r="O43" s="27">
        <f>sum(2113.91,2142.78)</f>
        <v>4256.69</v>
      </c>
      <c r="P43" s="27">
        <f>sum(110.41*3,375.41*3)</f>
        <v>1457.46</v>
      </c>
      <c r="Q43" s="27">
        <f>sum(49.69,0.48)</f>
        <v>50.17</v>
      </c>
    </row>
    <row r="44">
      <c r="A44" s="29">
        <v>2023.0</v>
      </c>
      <c r="B44" s="29">
        <v>7.0</v>
      </c>
      <c r="C44" s="19">
        <v>-13309.72</v>
      </c>
      <c r="D44" s="83">
        <v>10376.98</v>
      </c>
      <c r="E44" s="84">
        <v>-2932.74</v>
      </c>
      <c r="F44" s="84">
        <v>-80.0</v>
      </c>
      <c r="G44" s="84">
        <v>-5493.31</v>
      </c>
      <c r="H44" s="84">
        <v>-2661.4499999999994</v>
      </c>
      <c r="I44" s="84">
        <v>-1030.41</v>
      </c>
      <c r="J44" s="84">
        <v>-386.80999999999995</v>
      </c>
      <c r="K44" s="84">
        <v>-214.15</v>
      </c>
      <c r="L44" s="84">
        <v>-2985.0</v>
      </c>
      <c r="M44" s="84">
        <v>-458.59000000000003</v>
      </c>
      <c r="N44" s="27">
        <f t="shared" si="6"/>
        <v>5588.14</v>
      </c>
      <c r="O44" s="27">
        <f>sum(1888.3,1867.24)</f>
        <v>3755.54</v>
      </c>
      <c r="P44" s="19">
        <f t="shared" ref="P44:P47" si="7">sum(375.41*2,110.41*2)</f>
        <v>971.64</v>
      </c>
      <c r="Q44" s="27">
        <f>sum(61.09,0.57)</f>
        <v>61.66</v>
      </c>
    </row>
    <row r="45">
      <c r="A45" s="29">
        <v>2023.0</v>
      </c>
      <c r="B45" s="29">
        <v>8.0</v>
      </c>
      <c r="C45" s="19">
        <v>-7082.039999999999</v>
      </c>
      <c r="D45" s="83">
        <v>10836.529999999999</v>
      </c>
      <c r="E45" s="84">
        <v>3754.49</v>
      </c>
      <c r="F45" s="84">
        <v>-4359.75</v>
      </c>
      <c r="G45" s="84">
        <v>4327.710000000001</v>
      </c>
      <c r="H45" s="84">
        <v>-961.6500000000001</v>
      </c>
      <c r="I45" s="84">
        <v>-1307.7700000000002</v>
      </c>
      <c r="J45" s="84">
        <v>-654.53</v>
      </c>
      <c r="K45" s="84">
        <v>-30.55</v>
      </c>
      <c r="L45" s="84">
        <v>-2629.0</v>
      </c>
      <c r="M45" s="84">
        <v>-1466.5</v>
      </c>
      <c r="N45" s="19">
        <f t="shared" si="6"/>
        <v>5588.14</v>
      </c>
      <c r="O45" s="27">
        <f>sum(2211.12,1994.87)</f>
        <v>4205.99</v>
      </c>
      <c r="P45" s="27">
        <f t="shared" si="7"/>
        <v>971.64</v>
      </c>
      <c r="Q45" s="27">
        <f>sum(70.12,0.64)</f>
        <v>70.76</v>
      </c>
    </row>
    <row r="46">
      <c r="A46" s="29">
        <v>2023.0</v>
      </c>
      <c r="B46" s="29">
        <v>9.0</v>
      </c>
      <c r="C46" s="19">
        <v>-7514.69</v>
      </c>
      <c r="D46" s="83">
        <v>10501.82</v>
      </c>
      <c r="E46" s="84">
        <v>2987.13</v>
      </c>
      <c r="F46" s="84">
        <v>-24.0</v>
      </c>
      <c r="G46" s="84">
        <v>-1683.58</v>
      </c>
      <c r="H46" s="84">
        <v>-466.30000000000007</v>
      </c>
      <c r="I46" s="84">
        <v>-1489.1200000000001</v>
      </c>
      <c r="J46" s="84">
        <v>-607.4</v>
      </c>
      <c r="K46" s="84">
        <v>0.0</v>
      </c>
      <c r="L46" s="84">
        <v>-2629.0</v>
      </c>
      <c r="M46" s="84">
        <v>-615.29</v>
      </c>
      <c r="N46" s="27">
        <f t="shared" si="6"/>
        <v>5588.14</v>
      </c>
      <c r="O46" s="27">
        <f>sum(2266.96,1595.16)</f>
        <v>3862.12</v>
      </c>
      <c r="P46" s="27">
        <f t="shared" si="7"/>
        <v>971.64</v>
      </c>
      <c r="Q46" s="27">
        <v>79.92</v>
      </c>
    </row>
    <row r="47">
      <c r="A47" s="29">
        <v>2023.0</v>
      </c>
      <c r="B47" s="29">
        <v>10.0</v>
      </c>
      <c r="C47" s="19">
        <v>-8817.13</v>
      </c>
      <c r="D47" s="83">
        <v>11032.25</v>
      </c>
      <c r="E47" s="84">
        <v>2215.120000000001</v>
      </c>
      <c r="F47" s="84">
        <v>-20.0</v>
      </c>
      <c r="G47" s="84">
        <v>-2181.2999999999997</v>
      </c>
      <c r="H47" s="84">
        <v>-1485.91</v>
      </c>
      <c r="I47" s="84">
        <v>-1517.11</v>
      </c>
      <c r="J47" s="84">
        <v>-733.85</v>
      </c>
      <c r="K47" s="84">
        <v>0.0</v>
      </c>
      <c r="L47" s="84">
        <v>-2629.0</v>
      </c>
      <c r="M47" s="84">
        <v>-249.95999999999998</v>
      </c>
      <c r="N47" s="19">
        <f>3043.41*2</f>
        <v>6086.82</v>
      </c>
      <c r="O47" s="19">
        <f>sum(2116.97,1763.23)</f>
        <v>3880.2</v>
      </c>
      <c r="P47" s="27">
        <f t="shared" si="7"/>
        <v>971.64</v>
      </c>
      <c r="Q47" s="27">
        <v>93.59</v>
      </c>
    </row>
    <row r="48">
      <c r="A48" s="29">
        <v>2023.0</v>
      </c>
      <c r="B48" s="29">
        <v>11.0</v>
      </c>
      <c r="C48" s="19">
        <v>-11427.02</v>
      </c>
      <c r="D48" s="83">
        <v>17470.73</v>
      </c>
      <c r="E48" s="84">
        <v>6043.709999999999</v>
      </c>
      <c r="F48" s="84">
        <v>-1126.33</v>
      </c>
      <c r="G48" s="84">
        <v>-3385.59</v>
      </c>
      <c r="H48" s="84">
        <v>-1283.8000000000002</v>
      </c>
      <c r="I48" s="84">
        <v>-1926.97</v>
      </c>
      <c r="J48" s="84">
        <v>-565.93</v>
      </c>
      <c r="K48" s="84">
        <v>0.0</v>
      </c>
      <c r="L48" s="84">
        <v>-2629.0</v>
      </c>
      <c r="M48" s="84">
        <v>-509.40000000000003</v>
      </c>
      <c r="N48" s="19">
        <f>3041.43*2+3940.7</f>
        <v>10023.56</v>
      </c>
      <c r="O48" s="27">
        <f>sum(1790.93,2240.98,1841.82)</f>
        <v>5873.73</v>
      </c>
      <c r="P48" s="27">
        <f>sum(375.41*3,110.41*3)</f>
        <v>1457.46</v>
      </c>
      <c r="Q48" s="27">
        <v>115.98</v>
      </c>
    </row>
    <row r="49">
      <c r="A49" s="29">
        <v>2023.0</v>
      </c>
      <c r="B49" s="29">
        <v>12.0</v>
      </c>
      <c r="C49" s="19">
        <v>-28649.820000000003</v>
      </c>
      <c r="D49" s="83">
        <v>10103.489999999998</v>
      </c>
      <c r="E49" s="84">
        <v>-18546.330000000005</v>
      </c>
      <c r="F49" s="84">
        <v>-223.18</v>
      </c>
      <c r="G49" s="84">
        <v>-3822.0499999999997</v>
      </c>
      <c r="H49" s="84">
        <v>-565.4300000000001</v>
      </c>
      <c r="I49" s="84">
        <v>-1051.2</v>
      </c>
      <c r="J49" s="84">
        <v>-379.21999999999997</v>
      </c>
      <c r="K49" s="84">
        <v>-20000.0</v>
      </c>
      <c r="L49" s="84">
        <v>-2129.0</v>
      </c>
      <c r="M49" s="84">
        <v>-479.74</v>
      </c>
      <c r="N49" s="27">
        <f>sum(2776.47,2240.59)</f>
        <v>5017.06</v>
      </c>
      <c r="O49" s="27">
        <f>sum(2124,1866.68)</f>
        <v>3990.68</v>
      </c>
      <c r="P49" s="27">
        <f t="shared" ref="P49:P52" si="8">sum(375.41*2,110.41*2)</f>
        <v>971.64</v>
      </c>
      <c r="Q49" s="27">
        <f>sum(122.96,1.15)</f>
        <v>124.11</v>
      </c>
    </row>
    <row r="50">
      <c r="A50" s="29">
        <v>2024.0</v>
      </c>
      <c r="B50" s="29">
        <v>1.0</v>
      </c>
      <c r="C50" s="19">
        <v>-11119.65</v>
      </c>
      <c r="D50" s="83">
        <v>10575.24</v>
      </c>
      <c r="E50" s="84">
        <v>-544.4099999999999</v>
      </c>
      <c r="F50" s="84">
        <v>-257.95</v>
      </c>
      <c r="G50" s="84">
        <v>-3513.29</v>
      </c>
      <c r="H50" s="84">
        <v>-724.69</v>
      </c>
      <c r="I50" s="84">
        <v>-1693.1899999999998</v>
      </c>
      <c r="J50" s="84">
        <v>-505.6599999999999</v>
      </c>
      <c r="K50" s="84">
        <v>-1300.0</v>
      </c>
      <c r="L50" s="84">
        <v>-2629.0</v>
      </c>
      <c r="M50" s="84">
        <v>-495.87</v>
      </c>
      <c r="N50" s="27">
        <f>sum(200,3043.41*2)</f>
        <v>6286.82</v>
      </c>
      <c r="O50" s="27">
        <f>sum(2534.19,648.33)</f>
        <v>3182.52</v>
      </c>
      <c r="P50" s="27">
        <f t="shared" si="8"/>
        <v>971.64</v>
      </c>
      <c r="Q50" s="27">
        <f>sum(133.02,1.24)</f>
        <v>134.26</v>
      </c>
    </row>
    <row r="51">
      <c r="A51" s="29">
        <v>2024.0</v>
      </c>
      <c r="B51" s="29">
        <v>2.0</v>
      </c>
      <c r="C51" s="19">
        <v>-7312.46</v>
      </c>
      <c r="D51" s="83">
        <v>7525.170000000001</v>
      </c>
      <c r="E51" s="84">
        <v>212.71000000000095</v>
      </c>
      <c r="F51" s="84">
        <v>-100.0</v>
      </c>
      <c r="G51" s="84">
        <v>-322.15999999999997</v>
      </c>
      <c r="H51" s="84">
        <v>-953.3600000000001</v>
      </c>
      <c r="I51" s="84">
        <v>-1430.25</v>
      </c>
      <c r="J51" s="84">
        <v>-272.75</v>
      </c>
      <c r="K51" s="84">
        <v>-1451.74</v>
      </c>
      <c r="L51" s="84">
        <v>-2529.0</v>
      </c>
      <c r="M51" s="84">
        <v>-253.20000000000002</v>
      </c>
      <c r="N51" s="27">
        <f>sum(568.94,1501.5,3043.41)</f>
        <v>5113.85</v>
      </c>
      <c r="O51" s="27">
        <f>648.33*2</f>
        <v>1296.66</v>
      </c>
      <c r="P51" s="27">
        <f t="shared" si="8"/>
        <v>971.64</v>
      </c>
      <c r="Q51" s="27">
        <f>sum(141.7,1.32)</f>
        <v>143.02</v>
      </c>
    </row>
    <row r="52">
      <c r="A52" s="29">
        <v>2024.0</v>
      </c>
      <c r="B52" s="29">
        <v>3.0</v>
      </c>
      <c r="C52" s="19">
        <v>-9126.060000000001</v>
      </c>
      <c r="D52" s="83">
        <v>8490.39</v>
      </c>
      <c r="E52" s="84">
        <v>-635.6700000000019</v>
      </c>
      <c r="F52" s="84">
        <v>-2423.12</v>
      </c>
      <c r="G52" s="84">
        <v>-1021.26</v>
      </c>
      <c r="H52" s="84">
        <v>-878.26</v>
      </c>
      <c r="I52" s="84">
        <v>-910.8900000000001</v>
      </c>
      <c r="J52" s="84">
        <v>-717.93</v>
      </c>
      <c r="K52" s="84">
        <v>-196.0</v>
      </c>
      <c r="L52" s="84">
        <v>-2641.0</v>
      </c>
      <c r="M52" s="84">
        <v>-337.6</v>
      </c>
      <c r="N52" s="27">
        <f t="shared" ref="N52:N53" si="9">3043.41*2</f>
        <v>6086.82</v>
      </c>
      <c r="O52" s="19">
        <f>sum(648.33*2)</f>
        <v>1296.66</v>
      </c>
      <c r="P52" s="27">
        <f t="shared" si="8"/>
        <v>971.64</v>
      </c>
      <c r="Q52" s="27">
        <v>135.27</v>
      </c>
    </row>
    <row r="53">
      <c r="A53" s="29">
        <v>2024.0</v>
      </c>
      <c r="B53" s="29">
        <v>4.0</v>
      </c>
      <c r="C53" s="19">
        <v>-6446.790000000001</v>
      </c>
      <c r="D53" s="83">
        <v>8352.56</v>
      </c>
      <c r="E53" s="84">
        <v>1905.7699999999986</v>
      </c>
      <c r="F53" s="84">
        <v>-65.13</v>
      </c>
      <c r="G53" s="84">
        <v>-823.7</v>
      </c>
      <c r="H53" s="84">
        <v>-1059.9499999999998</v>
      </c>
      <c r="I53" s="84">
        <v>-1094.51</v>
      </c>
      <c r="J53" s="84">
        <v>-424.9</v>
      </c>
      <c r="K53" s="84">
        <v>0.0</v>
      </c>
      <c r="L53" s="84">
        <v>-2641.0</v>
      </c>
      <c r="M53" s="84">
        <v>-337.6</v>
      </c>
      <c r="N53" s="27">
        <f t="shared" si="9"/>
        <v>6086.82</v>
      </c>
      <c r="O53" s="19">
        <f>sum(684.42*2)</f>
        <v>1368.84</v>
      </c>
      <c r="P53" s="27">
        <f>sum(346.53*2,101.92*2)</f>
        <v>896.9</v>
      </c>
    </row>
    <row r="54">
      <c r="A54" s="29">
        <v>2024.0</v>
      </c>
      <c r="B54" s="29">
        <v>5.0</v>
      </c>
      <c r="C54" s="19">
        <v>-7983.290000000001</v>
      </c>
      <c r="D54" s="83">
        <v>12660.31</v>
      </c>
      <c r="E54" s="84">
        <v>4677.019999999999</v>
      </c>
      <c r="F54" s="84">
        <v>-31.779999999999998</v>
      </c>
      <c r="G54" s="84">
        <v>-2097.2</v>
      </c>
      <c r="H54" s="84">
        <v>-879.95</v>
      </c>
      <c r="I54" s="84">
        <v>-1215.77</v>
      </c>
      <c r="J54" s="84">
        <v>-491.3</v>
      </c>
      <c r="K54" s="84">
        <v>0.0</v>
      </c>
      <c r="L54" s="84">
        <v>-2641.0</v>
      </c>
      <c r="M54" s="84">
        <v>-626.29</v>
      </c>
      <c r="N54" s="27">
        <f>3043.41*3</f>
        <v>9130.23</v>
      </c>
      <c r="O54">
        <f>sum(684.42*2,815.89)</f>
        <v>2184.73</v>
      </c>
      <c r="P54" s="27">
        <f>sum(346.53*3,101.92*3)</f>
        <v>1345.35</v>
      </c>
    </row>
    <row r="55">
      <c r="A55" s="29">
        <v>2024.0</v>
      </c>
      <c r="B55" s="29">
        <v>6.0</v>
      </c>
      <c r="C55" s="19">
        <v>-5040.56</v>
      </c>
      <c r="D55" s="83">
        <v>8567.76</v>
      </c>
      <c r="E55" s="84">
        <v>3527.2</v>
      </c>
      <c r="F55" s="84">
        <v>-22.69</v>
      </c>
      <c r="G55" s="84">
        <v>-634.9599999999999</v>
      </c>
      <c r="H55" s="84">
        <v>-507.21000000000004</v>
      </c>
      <c r="I55" s="84">
        <v>-815.9399999999997</v>
      </c>
      <c r="J55" s="84">
        <v>-551.9599999999999</v>
      </c>
      <c r="K55" s="84">
        <v>0.0</v>
      </c>
      <c r="L55" s="84">
        <v>-2641.0</v>
      </c>
      <c r="M55" s="84">
        <v>133.2</v>
      </c>
      <c r="N55" s="27">
        <f>3151.01*2</f>
        <v>6302.02</v>
      </c>
      <c r="O55" s="27">
        <f>sum(684.42*2)</f>
        <v>1368.84</v>
      </c>
      <c r="P55" s="27">
        <f t="shared" ref="P55:P56" si="10">sum(346.53*2,101.92*2)</f>
        <v>896.9</v>
      </c>
    </row>
    <row r="56">
      <c r="A56" s="29">
        <v>2024.0</v>
      </c>
      <c r="B56" s="29">
        <v>7.0</v>
      </c>
      <c r="C56" s="19">
        <v>-10938.0</v>
      </c>
      <c r="D56" s="83">
        <v>9068.08</v>
      </c>
      <c r="E56" s="84">
        <v>-1869.92</v>
      </c>
      <c r="F56" s="84">
        <v>-27.299999999999997</v>
      </c>
      <c r="G56" s="84">
        <v>-2619.91</v>
      </c>
      <c r="H56" s="84">
        <v>-3237.0600000000004</v>
      </c>
      <c r="I56" s="84">
        <v>-1474.9299999999998</v>
      </c>
      <c r="J56" s="84">
        <v>-261.57</v>
      </c>
      <c r="K56" s="84">
        <v>0.0</v>
      </c>
      <c r="L56" s="84">
        <v>-3036.0</v>
      </c>
      <c r="M56" s="84">
        <v>-281.23</v>
      </c>
      <c r="N56" s="27">
        <f t="shared" ref="N56:N58" si="11">3245.01*2</f>
        <v>6490.02</v>
      </c>
      <c r="O56" s="27">
        <f>sum(684.42*2,312.32)</f>
        <v>1681.16</v>
      </c>
      <c r="P56" s="19">
        <f t="shared" si="10"/>
        <v>896.9</v>
      </c>
    </row>
    <row r="57">
      <c r="A57" s="29">
        <v>2024.0</v>
      </c>
      <c r="B57" s="29">
        <v>8.0</v>
      </c>
      <c r="C57" s="19">
        <v>-5781.300000000001</v>
      </c>
      <c r="D57" s="83">
        <v>9605.220000000001</v>
      </c>
      <c r="E57" s="84">
        <v>3823.92</v>
      </c>
      <c r="F57" s="84">
        <v>-22.0</v>
      </c>
      <c r="G57" s="84">
        <v>-529.98</v>
      </c>
      <c r="H57" s="84">
        <v>-635.3900000000001</v>
      </c>
      <c r="I57" s="84">
        <v>-1098.01</v>
      </c>
      <c r="J57" s="84">
        <v>-563.32</v>
      </c>
      <c r="K57" s="84">
        <v>0.0</v>
      </c>
      <c r="L57" s="84">
        <v>-2641.0</v>
      </c>
      <c r="M57" s="84">
        <v>-291.6</v>
      </c>
      <c r="N57" s="19">
        <f t="shared" si="11"/>
        <v>6490.02</v>
      </c>
      <c r="O57" s="27">
        <f>sum(1557.6*2)</f>
        <v>3115.2</v>
      </c>
      <c r="P57" s="27"/>
    </row>
    <row r="58">
      <c r="A58" s="29">
        <v>2024.0</v>
      </c>
      <c r="B58" s="29">
        <v>9.0</v>
      </c>
      <c r="C58" s="19">
        <v>-6120.54</v>
      </c>
      <c r="D58" s="83">
        <v>9605.220000000001</v>
      </c>
      <c r="E58" s="84">
        <v>3484.680000000001</v>
      </c>
      <c r="F58" s="84">
        <v>-20.0</v>
      </c>
      <c r="G58" s="84">
        <v>-482.06999999999994</v>
      </c>
      <c r="H58" s="84">
        <v>-1204.6599999999999</v>
      </c>
      <c r="I58" s="84">
        <v>-1141.4</v>
      </c>
      <c r="J58" s="84">
        <v>-498.13000000000005</v>
      </c>
      <c r="K58" s="84">
        <v>100.0</v>
      </c>
      <c r="L58" s="84">
        <v>-2641.0</v>
      </c>
      <c r="M58" s="84">
        <v>-233.28</v>
      </c>
      <c r="N58" s="27">
        <f t="shared" si="11"/>
        <v>6490.02</v>
      </c>
      <c r="O58" s="27">
        <f>1557.6*2</f>
        <v>3115.2</v>
      </c>
      <c r="P58" s="27"/>
    </row>
    <row r="59">
      <c r="A59" s="29">
        <v>2024.0</v>
      </c>
      <c r="B59" s="29">
        <v>10.0</v>
      </c>
      <c r="C59" s="19">
        <v>-6570.889999999999</v>
      </c>
      <c r="D59" s="83">
        <v>14627.4</v>
      </c>
      <c r="E59" s="84">
        <v>8056.51</v>
      </c>
      <c r="F59" s="84">
        <v>0.0</v>
      </c>
      <c r="G59" s="84">
        <v>-1809.57</v>
      </c>
      <c r="H59" s="84">
        <v>-869.3199999999999</v>
      </c>
      <c r="I59" s="84">
        <v>-961.93</v>
      </c>
      <c r="J59" s="84">
        <v>-84.95</v>
      </c>
      <c r="K59" s="84">
        <v>0.0</v>
      </c>
      <c r="L59" s="84">
        <v>-2641.0</v>
      </c>
      <c r="M59" s="84">
        <v>-204.12</v>
      </c>
      <c r="N59" s="19">
        <f>3291.24+3302.3+3361.06</f>
        <v>9954.6</v>
      </c>
      <c r="O59" s="27">
        <f>1557.6*3</f>
        <v>4672.8</v>
      </c>
      <c r="P59" s="27"/>
    </row>
    <row r="60">
      <c r="A60" s="29">
        <v>2024.0</v>
      </c>
      <c r="B60" s="29">
        <v>11.0</v>
      </c>
      <c r="C60" s="19">
        <v>-8771.890000000001</v>
      </c>
      <c r="D60" s="83">
        <v>9694.22</v>
      </c>
      <c r="E60" s="84">
        <v>922.3299999999981</v>
      </c>
      <c r="F60" s="84">
        <v>-976.9</v>
      </c>
      <c r="G60" s="84">
        <v>-2463.7200000000003</v>
      </c>
      <c r="H60" s="84">
        <v>-666.3499999999999</v>
      </c>
      <c r="I60" s="84">
        <v>-1549.13</v>
      </c>
      <c r="J60" s="84">
        <v>-630.2099999999999</v>
      </c>
      <c r="K60" s="84">
        <v>0.0</v>
      </c>
      <c r="L60" s="84">
        <v>-2141.0</v>
      </c>
      <c r="M60" s="84">
        <v>-344.58</v>
      </c>
      <c r="N60" s="19">
        <f>3331.68*2</f>
        <v>6663.36</v>
      </c>
      <c r="O60" s="27">
        <f>sum(100.45,8.2,1557.6,12.3,1246.28)</f>
        <v>2924.83</v>
      </c>
      <c r="P60" s="27">
        <v>106.03</v>
      </c>
    </row>
    <row r="61">
      <c r="A61" s="29">
        <v>2024.0</v>
      </c>
      <c r="B61" s="29">
        <v>12.0</v>
      </c>
      <c r="C61" s="19">
        <v>-13691.1</v>
      </c>
      <c r="D61" s="83">
        <v>10219.83</v>
      </c>
      <c r="E61" s="84">
        <v>-3471.2700000000004</v>
      </c>
      <c r="F61" s="84">
        <v>-100.0</v>
      </c>
      <c r="G61" s="84">
        <v>-1126.2299999999998</v>
      </c>
      <c r="H61" s="84">
        <v>-1638.81</v>
      </c>
      <c r="I61" s="84">
        <v>-1339.2099999999996</v>
      </c>
      <c r="J61" s="84">
        <v>-579.6</v>
      </c>
      <c r="K61" s="84">
        <v>-5000.0</v>
      </c>
      <c r="L61" s="84">
        <v>-3641.0</v>
      </c>
      <c r="M61" s="84">
        <v>-266.25</v>
      </c>
      <c r="N61" s="27">
        <f>4407.56+3515.61</f>
        <v>7923.17</v>
      </c>
      <c r="O61" s="27">
        <f>28.7+2239.26+28.7</f>
        <v>2296.66</v>
      </c>
      <c r="P61" s="27"/>
    </row>
    <row r="62">
      <c r="A62" s="29">
        <v>2025.0</v>
      </c>
      <c r="B62" s="29">
        <v>1.0</v>
      </c>
      <c r="C62" s="19">
        <v>-11256.84</v>
      </c>
      <c r="D62" s="84">
        <v>9211.6</v>
      </c>
      <c r="E62" s="84">
        <v>-2045.2399999999998</v>
      </c>
      <c r="F62" s="84">
        <v>-30.0</v>
      </c>
      <c r="G62" s="84">
        <v>-378.81999999999994</v>
      </c>
      <c r="H62" s="84">
        <v>-417.78000000000003</v>
      </c>
      <c r="I62" s="84">
        <v>-1829.5499999999997</v>
      </c>
      <c r="J62" s="84">
        <v>-598.3499999999999</v>
      </c>
      <c r="K62" s="84">
        <v>-5000.0</v>
      </c>
      <c r="L62" s="84">
        <v>-2641.0</v>
      </c>
      <c r="M62" s="84">
        <v>-361.34</v>
      </c>
      <c r="N62" s="27">
        <f>3515.61*2</f>
        <v>7031.22</v>
      </c>
      <c r="O62" s="27">
        <f>28.7*2+2122.98</f>
        <v>2180.38</v>
      </c>
      <c r="P62" s="27"/>
    </row>
    <row r="63">
      <c r="A63" s="29">
        <v>2025.0</v>
      </c>
      <c r="B63" s="29">
        <v>2.0</v>
      </c>
      <c r="C63" s="19">
        <v>-6822.81</v>
      </c>
      <c r="D63" s="84">
        <v>8009.630000000001</v>
      </c>
      <c r="E63" s="84">
        <v>1186.8200000000006</v>
      </c>
      <c r="F63" s="84">
        <v>-30.0</v>
      </c>
      <c r="G63" s="84">
        <v>-606.5500000000001</v>
      </c>
      <c r="H63" s="84">
        <v>-1538.9</v>
      </c>
      <c r="I63" s="84">
        <v>-1308.15</v>
      </c>
      <c r="J63" s="84">
        <v>-376.93000000000006</v>
      </c>
      <c r="K63" s="84">
        <v>-38.0</v>
      </c>
      <c r="L63" s="84">
        <v>-2641.0</v>
      </c>
      <c r="M63" s="84">
        <v>-283.28</v>
      </c>
      <c r="N63" s="27">
        <f>3515.61+3647.34</f>
        <v>7162.95</v>
      </c>
      <c r="O63" s="27">
        <f>sum(28.7*2,301.56,487.72)</f>
        <v>846.68</v>
      </c>
      <c r="P63" s="27"/>
    </row>
    <row r="64">
      <c r="A64" s="29">
        <v>2025.0</v>
      </c>
      <c r="B64" s="29">
        <v>3.0</v>
      </c>
      <c r="C64" s="19">
        <v>-12781.32</v>
      </c>
      <c r="D64" s="84">
        <v>8546.99</v>
      </c>
      <c r="E64" s="84">
        <v>-4234.33</v>
      </c>
      <c r="F64" s="84">
        <v>0.0</v>
      </c>
      <c r="G64" s="84">
        <v>-114.91999999999999</v>
      </c>
      <c r="H64" s="84">
        <v>-3222.92</v>
      </c>
      <c r="I64" s="84">
        <v>-1230.51</v>
      </c>
      <c r="J64" s="84">
        <v>-269.92</v>
      </c>
      <c r="K64" s="84">
        <v>-5000.0</v>
      </c>
      <c r="L64" s="84">
        <v>-2641.0</v>
      </c>
      <c r="M64" s="84">
        <v>-302.05</v>
      </c>
      <c r="N64" s="27">
        <f>3515.61*2</f>
        <v>7031.22</v>
      </c>
      <c r="O64" s="19">
        <f>384.17+28.7+101.95+28.7+203.91</f>
        <v>747.43</v>
      </c>
      <c r="P64" s="27">
        <v>768.34</v>
      </c>
    </row>
    <row r="65">
      <c r="A65" s="29">
        <v>2025.0</v>
      </c>
      <c r="B65" s="29">
        <v>4.0</v>
      </c>
      <c r="C65" s="19">
        <v>-6219.8</v>
      </c>
      <c r="D65" s="84">
        <v>11448.890000000001</v>
      </c>
      <c r="E65" s="84">
        <v>5229.090000000001</v>
      </c>
      <c r="F65" s="84">
        <v>-5.6</v>
      </c>
      <c r="G65" s="84">
        <v>-615.04</v>
      </c>
      <c r="H65" s="84">
        <v>-707.91</v>
      </c>
      <c r="I65" s="84">
        <v>-1554.5000000000002</v>
      </c>
      <c r="J65" s="84">
        <v>-412.4699999999999</v>
      </c>
      <c r="K65" s="84">
        <v>0.0</v>
      </c>
      <c r="L65" s="84">
        <v>-2641.0</v>
      </c>
      <c r="M65" s="84">
        <v>-283.28</v>
      </c>
      <c r="N65" s="27">
        <f>3515.61*3</f>
        <v>10546.83</v>
      </c>
      <c r="O65" s="27">
        <f>28.7*2+152.63</f>
        <v>210.03</v>
      </c>
      <c r="P65" s="27">
        <f>sum(454.85,113.71,123.47)</f>
        <v>692.03</v>
      </c>
    </row>
    <row r="66">
      <c r="A66" s="29">
        <v>2025.0</v>
      </c>
      <c r="B66" s="29">
        <v>5.0</v>
      </c>
      <c r="C66" s="19">
        <v>-6466.070000000001</v>
      </c>
      <c r="D66" s="84">
        <v>8706.82</v>
      </c>
      <c r="E66" s="84">
        <v>2240.749999999999</v>
      </c>
      <c r="F66" s="84">
        <v>-90.0</v>
      </c>
      <c r="G66" s="84">
        <v>-386.37</v>
      </c>
      <c r="H66" s="84">
        <v>-1044.16</v>
      </c>
      <c r="I66" s="84">
        <v>-1451.8200000000002</v>
      </c>
      <c r="J66" s="84">
        <v>-529.44</v>
      </c>
      <c r="K66" s="84">
        <v>0.0</v>
      </c>
      <c r="L66" s="84">
        <v>-2641.0</v>
      </c>
      <c r="M66" s="84">
        <v>-323.28</v>
      </c>
      <c r="N66" s="27">
        <f>3515.61*2</f>
        <v>7031.22</v>
      </c>
      <c r="O66">
        <f>28.7*3+101.95*2+210.03</f>
        <v>500.03</v>
      </c>
      <c r="P66" s="27">
        <f>384.17+791.4</f>
        <v>1175.57</v>
      </c>
    </row>
    <row r="67">
      <c r="A67" s="29">
        <v>2025.0</v>
      </c>
      <c r="B67" s="29">
        <v>6.0</v>
      </c>
      <c r="C67" s="19">
        <v>-8757.380000000001</v>
      </c>
      <c r="D67" s="84">
        <v>8105.15</v>
      </c>
      <c r="E67" s="84">
        <v>-652.2300000000014</v>
      </c>
      <c r="F67" s="84">
        <v>-20.0</v>
      </c>
      <c r="G67" s="84">
        <v>-2442.25</v>
      </c>
      <c r="H67" s="84">
        <v>-1709.96</v>
      </c>
      <c r="I67" s="84">
        <v>-1289.4099999999999</v>
      </c>
      <c r="J67" s="84">
        <v>-371.48</v>
      </c>
      <c r="K67" s="84">
        <v>0.0</v>
      </c>
      <c r="L67" s="84">
        <v>-2641.0</v>
      </c>
      <c r="M67" s="84">
        <v>-283.28</v>
      </c>
      <c r="N67" s="27">
        <f>3641.58*2</f>
        <v>7283.16</v>
      </c>
      <c r="O67" s="27">
        <f>28.7*2+157.22</f>
        <v>214.62</v>
      </c>
      <c r="P67" s="27">
        <v>607.37</v>
      </c>
    </row>
    <row r="68">
      <c r="A68" s="29">
        <v>2025.0</v>
      </c>
      <c r="B68" s="29">
        <v>7.0</v>
      </c>
      <c r="C68" s="19">
        <v>-7019.42</v>
      </c>
      <c r="D68" s="84">
        <v>8059.89</v>
      </c>
      <c r="E68" s="84">
        <v>1040.4700000000003</v>
      </c>
      <c r="F68" s="84">
        <v>-20.0</v>
      </c>
      <c r="G68" s="84">
        <v>-881.4</v>
      </c>
      <c r="H68" s="84">
        <v>-1062.7</v>
      </c>
      <c r="I68" s="84">
        <v>-1374.2100000000003</v>
      </c>
      <c r="J68" s="84">
        <v>-587.86</v>
      </c>
      <c r="K68" s="84">
        <v>0.0</v>
      </c>
      <c r="L68" s="84">
        <v>-2651.0</v>
      </c>
      <c r="M68" s="84">
        <v>-442.25000000000006</v>
      </c>
      <c r="N68" s="27">
        <f>3641.5*2</f>
        <v>7283</v>
      </c>
      <c r="O68" s="27">
        <f>157.22+12.3</f>
        <v>169.52</v>
      </c>
      <c r="P68" s="27">
        <v>607.37</v>
      </c>
    </row>
    <row r="69">
      <c r="A69" s="29">
        <v>2025.0</v>
      </c>
      <c r="B69" s="29">
        <v>8.0</v>
      </c>
      <c r="C69" s="19">
        <v>-5931.6900000000005</v>
      </c>
      <c r="D69" s="84">
        <v>11027.150000000001</v>
      </c>
      <c r="E69" s="84">
        <v>5095.460000000001</v>
      </c>
      <c r="F69" s="84">
        <v>0.0</v>
      </c>
      <c r="G69" s="84">
        <v>2078.1400000000003</v>
      </c>
      <c r="H69" s="84">
        <v>-1929.22</v>
      </c>
      <c r="I69" s="84">
        <v>-1432.11</v>
      </c>
      <c r="J69" s="84">
        <v>-664.8500000000001</v>
      </c>
      <c r="K69" s="84">
        <v>0.0</v>
      </c>
      <c r="L69" s="84">
        <v>-3410.0</v>
      </c>
      <c r="M69" s="84">
        <v>-573.6500000000001</v>
      </c>
      <c r="N69" s="19">
        <f t="shared" ref="N69:N70" si="12">3641.58*2</f>
        <v>7283.16</v>
      </c>
      <c r="O69" s="27">
        <f>43.88+4+2826.84+164.24+69.58</f>
        <v>3108.54</v>
      </c>
      <c r="P69" s="27">
        <v>635.45</v>
      </c>
    </row>
    <row r="70">
      <c r="A70" s="29">
        <v>2025.0</v>
      </c>
      <c r="B70" s="29">
        <v>9.0</v>
      </c>
      <c r="C70" s="19">
        <v>-12784.76</v>
      </c>
      <c r="D70" s="84">
        <v>9801.16</v>
      </c>
      <c r="E70" s="84">
        <v>-2983.6000000000004</v>
      </c>
      <c r="F70" s="84">
        <v>-14.0</v>
      </c>
      <c r="G70" s="84">
        <v>-5594.799999999999</v>
      </c>
      <c r="H70" s="84">
        <v>-1229.71</v>
      </c>
      <c r="I70" s="84">
        <v>-1296.2499999999998</v>
      </c>
      <c r="J70" s="84">
        <v>-709.8800000000001</v>
      </c>
      <c r="K70" s="84">
        <v>0.0</v>
      </c>
      <c r="L70" s="84">
        <v>-3410.0</v>
      </c>
      <c r="M70" s="84">
        <v>-530.12</v>
      </c>
      <c r="N70" s="27">
        <f t="shared" si="12"/>
        <v>7283.16</v>
      </c>
      <c r="O70" s="27">
        <f>342.67+171.34</f>
        <v>514.01</v>
      </c>
      <c r="P70" s="27">
        <f>1342.35+661.64</f>
        <v>2003.99</v>
      </c>
    </row>
    <row r="71">
      <c r="A71" s="29">
        <v>2025.0</v>
      </c>
      <c r="B71" s="29">
        <v>10.0</v>
      </c>
      <c r="C71" s="19">
        <v>-7441.090000000001</v>
      </c>
      <c r="D71" s="84">
        <v>13473.539999999999</v>
      </c>
      <c r="E71" s="84">
        <v>6032.449999999998</v>
      </c>
      <c r="F71" s="84">
        <v>-236.04</v>
      </c>
      <c r="G71" s="84">
        <v>-1210.7600000000002</v>
      </c>
      <c r="H71" s="84">
        <v>-1082.18</v>
      </c>
      <c r="I71" s="84">
        <v>-809.11</v>
      </c>
      <c r="J71" s="84">
        <v>-116.2</v>
      </c>
      <c r="K71" s="84">
        <v>0.0</v>
      </c>
      <c r="L71" s="84">
        <v>-3410.0</v>
      </c>
      <c r="M71" s="84">
        <v>-576.8000000000001</v>
      </c>
      <c r="N71" s="19">
        <f>3641.6*3</f>
        <v>10924.8</v>
      </c>
      <c r="O71" s="27">
        <f>181.41+170.76+171.34</f>
        <v>523.51</v>
      </c>
      <c r="P71" s="27">
        <f>701.95+661.64+661.64</f>
        <v>2025.23</v>
      </c>
    </row>
    <row r="72">
      <c r="A72" s="29">
        <v>2025.0</v>
      </c>
      <c r="B72" s="29">
        <v>11.0</v>
      </c>
      <c r="C72" s="19">
        <v>-9227.8</v>
      </c>
      <c r="D72" s="84">
        <v>9953.6</v>
      </c>
      <c r="E72" s="84">
        <v>725.8000000000011</v>
      </c>
      <c r="F72" s="84">
        <v>-1597.13</v>
      </c>
      <c r="G72" s="84">
        <v>-1114.86</v>
      </c>
      <c r="H72" s="84">
        <v>-1061.3700000000001</v>
      </c>
      <c r="I72" s="84">
        <v>-978.5000000000001</v>
      </c>
      <c r="J72" s="84">
        <v>-562.0799999999999</v>
      </c>
      <c r="K72" s="84">
        <v>0.0</v>
      </c>
      <c r="L72" s="84">
        <v>-3410.0</v>
      </c>
      <c r="M72" s="84">
        <v>-503.86</v>
      </c>
      <c r="N72" s="19">
        <f>3641.58*2</f>
        <v>7283.16</v>
      </c>
      <c r="O72" s="27">
        <f>355.36+1322.59</f>
        <v>1677.95</v>
      </c>
      <c r="P72" s="27">
        <v>992.49</v>
      </c>
    </row>
    <row r="73">
      <c r="A73" s="29">
        <v>2025.0</v>
      </c>
      <c r="B73" s="29">
        <v>12.0</v>
      </c>
      <c r="C73" s="19">
        <v>-5067.88</v>
      </c>
      <c r="D73" s="84">
        <v>9595.609999999999</v>
      </c>
      <c r="E73" s="84">
        <v>4527.729999999999</v>
      </c>
      <c r="F73" s="84">
        <v>-14.97</v>
      </c>
      <c r="G73" s="84">
        <v>-1527.35</v>
      </c>
      <c r="H73" s="84">
        <v>-1532.21</v>
      </c>
      <c r="I73" s="84">
        <v>-1276.8</v>
      </c>
      <c r="J73" s="84">
        <v>-473.25</v>
      </c>
      <c r="K73" s="84">
        <v>0.0</v>
      </c>
      <c r="L73" s="84">
        <v>0.0</v>
      </c>
      <c r="M73" s="84">
        <v>-243.3</v>
      </c>
      <c r="N73" s="27">
        <f>4697.65+3731.41</f>
        <v>8429.06</v>
      </c>
      <c r="O73" s="27">
        <v>1166.55</v>
      </c>
      <c r="P73" s="27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N1" s="39" t="s">
        <v>119</v>
      </c>
      <c r="O1" s="39" t="s">
        <v>120</v>
      </c>
      <c r="P1" s="39" t="s">
        <v>121</v>
      </c>
      <c r="Q1" s="39" t="s">
        <v>122</v>
      </c>
      <c r="R1" s="39" t="s">
        <v>123</v>
      </c>
      <c r="S1" s="39" t="s">
        <v>124</v>
      </c>
      <c r="T1" s="39" t="s">
        <v>125</v>
      </c>
      <c r="U1" s="39" t="s">
        <v>126</v>
      </c>
    </row>
    <row r="2">
      <c r="N2" s="86">
        <f t="shared" ref="N2:U2" si="1">F2/$D2</f>
        <v>0.03551814968</v>
      </c>
      <c r="O2" s="86">
        <f t="shared" si="1"/>
        <v>0.5408510572</v>
      </c>
      <c r="P2" s="86">
        <f t="shared" si="1"/>
        <v>0.2106632895</v>
      </c>
      <c r="Q2" s="86">
        <f t="shared" si="1"/>
        <v>0</v>
      </c>
      <c r="R2" s="86">
        <f t="shared" si="1"/>
        <v>0.02481196347</v>
      </c>
      <c r="S2" s="86">
        <f t="shared" si="1"/>
        <v>0.1881555401</v>
      </c>
      <c r="T2" s="86">
        <f t="shared" si="1"/>
        <v>0</v>
      </c>
      <c r="U2" s="86">
        <f t="shared" si="1"/>
        <v>0</v>
      </c>
      <c r="V2" s="86"/>
    </row>
    <row r="3">
      <c r="N3" s="86">
        <f t="shared" ref="N3:U3" si="2">F3/$D3</f>
        <v>0.06941561007</v>
      </c>
      <c r="O3" s="86">
        <f t="shared" si="2"/>
        <v>0.3390711281</v>
      </c>
      <c r="P3" s="86">
        <f t="shared" si="2"/>
        <v>0.2469353152</v>
      </c>
      <c r="Q3" s="86">
        <f t="shared" si="2"/>
        <v>0</v>
      </c>
      <c r="R3" s="86">
        <f t="shared" si="2"/>
        <v>0.01405886289</v>
      </c>
      <c r="S3" s="86">
        <f t="shared" si="2"/>
        <v>0.2384215107</v>
      </c>
      <c r="T3" s="86">
        <f t="shared" si="2"/>
        <v>0.1276697764</v>
      </c>
      <c r="U3" s="86">
        <f t="shared" si="2"/>
        <v>0</v>
      </c>
    </row>
    <row r="4">
      <c r="N4" s="86">
        <f t="shared" ref="N4:U4" si="3">F4/$D4</f>
        <v>0.01751623405</v>
      </c>
      <c r="O4" s="86">
        <f t="shared" si="3"/>
        <v>0.2453539745</v>
      </c>
      <c r="P4" s="86">
        <f t="shared" si="3"/>
        <v>0.1499633603</v>
      </c>
      <c r="Q4" s="86">
        <f t="shared" si="3"/>
        <v>0.09001199702</v>
      </c>
      <c r="R4" s="86">
        <f t="shared" si="3"/>
        <v>0.04791224449</v>
      </c>
      <c r="S4" s="86">
        <f t="shared" si="3"/>
        <v>0.2673446178</v>
      </c>
      <c r="T4" s="86">
        <f t="shared" si="3"/>
        <v>0.2411590459</v>
      </c>
      <c r="U4" s="86">
        <f t="shared" si="3"/>
        <v>0.0414522639</v>
      </c>
    </row>
    <row r="5">
      <c r="N5" s="86">
        <f t="shared" ref="N5:U5" si="4">F5/$D5</f>
        <v>0.06563101218</v>
      </c>
      <c r="O5" s="86">
        <f t="shared" si="4"/>
        <v>0.119736084</v>
      </c>
      <c r="P5" s="86">
        <f t="shared" si="4"/>
        <v>0.1294815038</v>
      </c>
      <c r="Q5" s="86">
        <f t="shared" si="4"/>
        <v>0.1286196423</v>
      </c>
      <c r="R5" s="86">
        <f t="shared" si="4"/>
        <v>0.05603710812</v>
      </c>
      <c r="S5" s="86">
        <f t="shared" si="4"/>
        <v>0.173452047</v>
      </c>
      <c r="T5" s="86">
        <f t="shared" si="4"/>
        <v>0.2606642467</v>
      </c>
      <c r="U5" s="86">
        <f t="shared" si="4"/>
        <v>0.06637835596</v>
      </c>
    </row>
    <row r="6">
      <c r="N6" s="86">
        <f t="shared" ref="N6:U6" si="5">F6/$D6</f>
        <v>0.04091776014</v>
      </c>
      <c r="O6" s="86">
        <f t="shared" si="5"/>
        <v>0.1763761756</v>
      </c>
      <c r="P6" s="86">
        <f t="shared" si="5"/>
        <v>0.1340209396</v>
      </c>
      <c r="Q6" s="86">
        <f t="shared" si="5"/>
        <v>0.1488855745</v>
      </c>
      <c r="R6" s="86">
        <f t="shared" si="5"/>
        <v>0.05644223661</v>
      </c>
      <c r="S6" s="86">
        <f t="shared" si="5"/>
        <v>0.07934822294</v>
      </c>
      <c r="T6" s="86">
        <f t="shared" si="5"/>
        <v>0.3282322505</v>
      </c>
      <c r="U6" s="86">
        <f t="shared" si="5"/>
        <v>0.03577684009</v>
      </c>
    </row>
    <row r="7">
      <c r="N7" s="86">
        <f t="shared" ref="N7:U7" si="6">F7/$D7</f>
        <v>0.0206234191</v>
      </c>
      <c r="O7" s="86">
        <f t="shared" si="6"/>
        <v>0.1282359457</v>
      </c>
      <c r="P7" s="86">
        <f t="shared" si="6"/>
        <v>0.165760077</v>
      </c>
      <c r="Q7" s="86">
        <f t="shared" si="6"/>
        <v>0.1586632412</v>
      </c>
      <c r="R7" s="86">
        <f t="shared" si="6"/>
        <v>0.05685396394</v>
      </c>
      <c r="S7" s="86">
        <f t="shared" si="6"/>
        <v>0.1006044889</v>
      </c>
      <c r="T7" s="86">
        <f t="shared" si="6"/>
        <v>0.3220887087</v>
      </c>
      <c r="U7" s="86">
        <f t="shared" si="6"/>
        <v>0.04717015548</v>
      </c>
    </row>
    <row r="8"/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75"/>
    <col customWidth="1" min="4" max="4" width="23.88"/>
    <col customWidth="1" min="5" max="5" width="18.13"/>
    <col customWidth="1" min="7" max="7" width="15.38"/>
    <col customWidth="1" min="8" max="8" width="19.75"/>
    <col customWidth="1" min="9" max="9" width="20.13"/>
  </cols>
  <sheetData>
    <row r="1">
      <c r="A1" s="7" t="s">
        <v>134</v>
      </c>
      <c r="B1" s="7" t="s">
        <v>135</v>
      </c>
      <c r="C1" s="7" t="s">
        <v>136</v>
      </c>
      <c r="D1" s="7" t="s">
        <v>137</v>
      </c>
      <c r="E1" s="87"/>
      <c r="F1" s="87"/>
      <c r="G1" s="87"/>
      <c r="H1" s="87"/>
      <c r="I1" s="87"/>
    </row>
    <row r="2">
      <c r="A2" s="88">
        <v>44384.0</v>
      </c>
      <c r="B2" s="48">
        <v>838000.0</v>
      </c>
      <c r="C2" s="48">
        <v>-502411.8</v>
      </c>
      <c r="D2" s="48">
        <f t="shared" ref="D2:D10" si="1">B2+C2</f>
        <v>335588.2</v>
      </c>
      <c r="E2" s="87"/>
      <c r="F2" s="87"/>
      <c r="G2" s="87"/>
      <c r="H2" s="87"/>
      <c r="I2" s="87"/>
    </row>
    <row r="3">
      <c r="A3" s="88">
        <v>44457.0</v>
      </c>
      <c r="B3" s="48">
        <v>865000.0</v>
      </c>
      <c r="C3" s="48">
        <v>-502411.8</v>
      </c>
      <c r="D3" s="48">
        <f t="shared" si="1"/>
        <v>362588.2</v>
      </c>
      <c r="E3" s="26"/>
      <c r="F3" s="26"/>
      <c r="G3" s="26"/>
      <c r="H3" s="26"/>
      <c r="I3" s="26"/>
    </row>
    <row r="4">
      <c r="A4" s="88">
        <v>45566.0</v>
      </c>
      <c r="B4" s="48">
        <v>989000.0</v>
      </c>
      <c r="C4" s="48">
        <v>-502411.8</v>
      </c>
      <c r="D4" s="48">
        <f t="shared" si="1"/>
        <v>486588.2</v>
      </c>
      <c r="E4" s="89"/>
      <c r="G4" s="89"/>
      <c r="H4" s="89"/>
      <c r="I4" s="89"/>
    </row>
    <row r="5">
      <c r="A5" s="88">
        <v>45292.0</v>
      </c>
      <c r="B5" s="48">
        <v>970000.0</v>
      </c>
      <c r="C5" s="48">
        <v>-502411.8</v>
      </c>
      <c r="D5" s="48">
        <f t="shared" si="1"/>
        <v>467588.2</v>
      </c>
    </row>
    <row r="6">
      <c r="A6" s="88">
        <v>45717.0</v>
      </c>
      <c r="B6" s="48">
        <v>970000.0</v>
      </c>
      <c r="C6" s="48">
        <v>-502411.8</v>
      </c>
      <c r="D6" s="48">
        <f t="shared" si="1"/>
        <v>467588.2</v>
      </c>
    </row>
    <row r="7">
      <c r="A7" s="88">
        <v>45753.0</v>
      </c>
      <c r="B7" s="48">
        <v>972000.0</v>
      </c>
      <c r="C7" s="48">
        <v>-441336.64</v>
      </c>
      <c r="D7" s="48">
        <f t="shared" si="1"/>
        <v>530663.36</v>
      </c>
    </row>
    <row r="8">
      <c r="A8" s="88">
        <v>45784.0</v>
      </c>
      <c r="B8" s="48">
        <v>978000.0</v>
      </c>
      <c r="C8" s="48">
        <v>-441336.64</v>
      </c>
      <c r="D8" s="48">
        <f t="shared" si="1"/>
        <v>536663.36</v>
      </c>
    </row>
    <row r="9">
      <c r="A9" s="88">
        <v>45920.0</v>
      </c>
      <c r="B9" s="48">
        <v>908779.0</v>
      </c>
      <c r="C9" s="48">
        <v>-434869.0</v>
      </c>
      <c r="D9" s="48">
        <f t="shared" si="1"/>
        <v>473910</v>
      </c>
    </row>
    <row r="10">
      <c r="A10" s="88">
        <v>45969.0</v>
      </c>
      <c r="B10" s="48">
        <v>974000.0</v>
      </c>
      <c r="C10" s="48">
        <v>-434869.0</v>
      </c>
      <c r="D10" s="48">
        <f t="shared" si="1"/>
        <v>539131</v>
      </c>
    </row>
    <row r="20">
      <c r="C20" s="8"/>
    </row>
    <row r="27">
      <c r="C27" s="8"/>
    </row>
    <row r="28">
      <c r="A28" s="90" t="s">
        <v>138</v>
      </c>
    </row>
    <row r="29">
      <c r="B29" s="26">
        <v>44384.0</v>
      </c>
      <c r="C29" s="91">
        <v>-502411.8</v>
      </c>
      <c r="D29" s="39" t="s">
        <v>9</v>
      </c>
    </row>
    <row r="30">
      <c r="B30" s="92">
        <v>44287.0</v>
      </c>
      <c r="C30" s="91">
        <v>-81000.0</v>
      </c>
      <c r="D30" s="39" t="s">
        <v>139</v>
      </c>
    </row>
    <row r="31">
      <c r="B31" s="26">
        <v>44356.0</v>
      </c>
      <c r="C31" s="91">
        <v>-900.0</v>
      </c>
      <c r="D31" s="39" t="s">
        <v>140</v>
      </c>
    </row>
    <row r="32">
      <c r="B32" s="26">
        <v>44358.0</v>
      </c>
      <c r="C32" s="91">
        <f>-sum(56.7,76.94)</f>
        <v>-133.64</v>
      </c>
    </row>
    <row r="33">
      <c r="B33" s="26">
        <v>44363.0</v>
      </c>
      <c r="C33" s="91">
        <v>-472.5</v>
      </c>
    </row>
    <row r="34">
      <c r="B34" s="26">
        <v>44379.0</v>
      </c>
      <c r="C34" s="91">
        <v>-674.0</v>
      </c>
    </row>
    <row r="35">
      <c r="B35" s="26">
        <v>44380.0</v>
      </c>
      <c r="C35" s="91">
        <v>-719.0</v>
      </c>
    </row>
    <row r="36">
      <c r="B36" s="26">
        <v>44384.0</v>
      </c>
      <c r="C36" s="91">
        <v>-1333.0</v>
      </c>
    </row>
    <row r="37">
      <c r="B37" s="26">
        <v>44389.0</v>
      </c>
      <c r="C37" s="91">
        <v>-169.95</v>
      </c>
    </row>
    <row r="38">
      <c r="B38" s="26">
        <v>44390.0</v>
      </c>
      <c r="C38" s="91">
        <v>-13.99</v>
      </c>
    </row>
    <row r="39">
      <c r="B39" s="26">
        <v>44391.0</v>
      </c>
      <c r="C39" s="91">
        <v>-129.0</v>
      </c>
    </row>
    <row r="40">
      <c r="B40" s="26">
        <v>44392.0</v>
      </c>
      <c r="C40" s="91">
        <f>-sum(233,296)</f>
        <v>-529</v>
      </c>
    </row>
    <row r="41">
      <c r="B41" s="26">
        <v>44395.0</v>
      </c>
      <c r="C41" s="91">
        <v>-506.0</v>
      </c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  <row r="1001">
      <c r="C1001" s="8"/>
    </row>
  </sheetData>
  <mergeCells count="1">
    <mergeCell ref="A28:D28"/>
  </mergeCells>
  <drawing r:id="rId1"/>
</worksheet>
</file>